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cal_user\Desktop\Study\VII_semester\TDK\BCRN\0_evaluate\input_files\"/>
    </mc:Choice>
  </mc:AlternateContent>
  <xr:revisionPtr revIDLastSave="0" documentId="8_{4D6F2097-D402-4FC9-9380-F290B4082794}" xr6:coauthVersionLast="47" xr6:coauthVersionMax="47" xr10:uidLastSave="{00000000-0000-0000-0000-000000000000}"/>
  <bookViews>
    <workbookView xWindow="-98" yWindow="-98" windowWidth="19396" windowHeight="11475" activeTab="2" xr2:uid="{40FF09D0-7C87-4493-8A19-6C916A5CDB16}"/>
  </bookViews>
  <sheets>
    <sheet name="species_ics_gluc_rap_mTOR" sheetId="1" r:id="rId1"/>
    <sheet name="gluc_rap_ranges" sheetId="2" r:id="rId2"/>
    <sheet name="BCRN6_ranges" sheetId="8" r:id="rId3"/>
    <sheet name="Munka4" sheetId="7" r:id="rId4"/>
    <sheet name="Munka2" sheetId="5" r:id="rId5"/>
    <sheet name="sejeong_gluc_starve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6" i="3"/>
  <c r="C5" i="3"/>
  <c r="C4" i="3"/>
  <c r="C3" i="3"/>
  <c r="C2" i="3"/>
  <c r="H23" i="1"/>
  <c r="F23" i="1"/>
  <c r="B23" i="1" s="1"/>
  <c r="F24" i="1"/>
  <c r="B24" i="1" s="1"/>
  <c r="H24" i="1"/>
  <c r="D24" i="1" s="1"/>
  <c r="C25" i="1"/>
  <c r="F25" i="1"/>
  <c r="B25" i="1" s="1"/>
  <c r="D23" i="1"/>
  <c r="H25" i="1"/>
  <c r="D25" i="1" s="1"/>
  <c r="C23" i="1"/>
  <c r="C24" i="1"/>
</calcChain>
</file>

<file path=xl/sharedStrings.xml><?xml version="1.0" encoding="utf-8"?>
<sst xmlns="http://schemas.openxmlformats.org/spreadsheetml/2006/main" count="646" uniqueCount="197">
  <si>
    <t>species</t>
  </si>
  <si>
    <t>PYRUVATE</t>
  </si>
  <si>
    <t>Q</t>
  </si>
  <si>
    <t>ATP</t>
  </si>
  <si>
    <t>ADP</t>
  </si>
  <si>
    <t>AMP</t>
  </si>
  <si>
    <t>AMPK</t>
  </si>
  <si>
    <t>LKB1</t>
  </si>
  <si>
    <t>PP2A</t>
  </si>
  <si>
    <t>AMPK_ATP</t>
  </si>
  <si>
    <t>AMPK_ADP</t>
  </si>
  <si>
    <t>AMPK_AMP</t>
  </si>
  <si>
    <t>AMPKA</t>
  </si>
  <si>
    <t>AMPKA_ATP</t>
  </si>
  <si>
    <t>AMPKA_ADP</t>
  </si>
  <si>
    <t>AMPKA_AMP</t>
  </si>
  <si>
    <t>AMPK_LKB1</t>
  </si>
  <si>
    <t>AMPK_ATP_LKB1</t>
  </si>
  <si>
    <t>AMPK_ADP_LKB1</t>
  </si>
  <si>
    <t>AMPK_AMP_LKB1</t>
  </si>
  <si>
    <t>AMPKA_PP2A</t>
  </si>
  <si>
    <t>AMPKA_ATP_PP2A</t>
  </si>
  <si>
    <t>AMPKA_ADP_PP2A</t>
  </si>
  <si>
    <t>AMPKA_AMP_PP2A</t>
  </si>
  <si>
    <t>GLUCOUT</t>
  </si>
  <si>
    <t>GLUT1</t>
  </si>
  <si>
    <t>GLUCIN</t>
  </si>
  <si>
    <t>GLUT1_GLUCOUT</t>
  </si>
  <si>
    <t>GLUT1_GLUCIN</t>
  </si>
  <si>
    <t>AKT</t>
  </si>
  <si>
    <t>AKTA</t>
  </si>
  <si>
    <t>MTOR</t>
  </si>
  <si>
    <t>MTORA</t>
  </si>
  <si>
    <t>RHEB</t>
  </si>
  <si>
    <t>RHEBA</t>
  </si>
  <si>
    <t>TSC</t>
  </si>
  <si>
    <t>TSCA</t>
  </si>
  <si>
    <t>ULK</t>
  </si>
  <si>
    <t>ULKA</t>
  </si>
  <si>
    <t>RAP</t>
  </si>
  <si>
    <t>RK</t>
  </si>
  <si>
    <t>FKBP12</t>
  </si>
  <si>
    <t>RKMTORA</t>
  </si>
  <si>
    <t>RAPOUT</t>
  </si>
  <si>
    <t>REF</t>
  </si>
  <si>
    <t>minconc</t>
  </si>
  <si>
    <t>value</t>
  </si>
  <si>
    <t>maxconc</t>
  </si>
  <si>
    <t>cite</t>
  </si>
  <si>
    <t>arce2020highly</t>
  </si>
  <si>
    <t>huang2010physiological, dong2016vivo, feng2020yin</t>
  </si>
  <si>
    <t>coccimiglio2020adp</t>
  </si>
  <si>
    <t>hajdu2024basal</t>
  </si>
  <si>
    <t>upper limit was 750 [nM] to all AMPK, here this is equally distributed among the inactive forms of AMPK</t>
  </si>
  <si>
    <t>https://pax-db.org/protein/9606/ENSP00000324856</t>
  </si>
  <si>
    <t>https://pax-db.org/protein/9606/ENSP00000418447</t>
  </si>
  <si>
    <t>https://pax-db.org/protein/9606/ENSP00000416293</t>
  </si>
  <si>
    <t>val = value is what corresponds to whole organism value on the sites where the links take you. Min and max are val +/- 20%</t>
  </si>
  <si>
    <t>min</t>
  </si>
  <si>
    <t>val</t>
  </si>
  <si>
    <t>max</t>
  </si>
  <si>
    <t>Assumptions:</t>
  </si>
  <si>
    <t>Bence mondta dc-n anno</t>
  </si>
  <si>
    <t xml:space="preserve">m_prot/cell [g] </t>
  </si>
  <si>
    <t>wisniewski2014proteomic</t>
  </si>
  <si>
    <t>g/mol</t>
  </si>
  <si>
    <t>woods2003lkb1</t>
  </si>
  <si>
    <t>formula</t>
  </si>
  <si>
    <t>(f*m_prot)/(V_cell*M)</t>
  </si>
  <si>
    <t>f*m_prot</t>
  </si>
  <si>
    <t>V_cell*M</t>
  </si>
  <si>
    <t>f = 10E-6*[ppm] (parts per million)</t>
  </si>
  <si>
    <t>GLUT1 Molar Mass</t>
  </si>
  <si>
    <t>PPA2 Molar Mass</t>
  </si>
  <si>
    <t>LKB1 Molar Mass</t>
  </si>
  <si>
    <t>pragallapati2019glucose</t>
  </si>
  <si>
    <t>H.sapiens - Cell line, Cd8, SC (Kim,nature,2014)</t>
  </si>
  <si>
    <t>study for f values:</t>
  </si>
  <si>
    <t>links</t>
  </si>
  <si>
    <t>https://www.uniprot.org/uniprotkb/P63151/entry#interaction</t>
  </si>
  <si>
    <t>M_complex ~ sum_{M_parts} = 36 + 65 + 48 = 149 [kDa]</t>
  </si>
  <si>
    <t>kim2014draft</t>
  </si>
  <si>
    <t>john2008dynamic</t>
  </si>
  <si>
    <t>assumed</t>
  </si>
  <si>
    <t>experimental setup</t>
  </si>
  <si>
    <t>V_cell [cm^3]</t>
  </si>
  <si>
    <t>y</t>
  </si>
  <si>
    <t>t [h]</t>
  </si>
  <si>
    <t>sigma</t>
  </si>
  <si>
    <t>\cite{arce2020highly}</t>
  </si>
  <si>
    <t>starvation: 1E-9</t>
  </si>
  <si>
    <t>basal: 3E-6</t>
  </si>
  <si>
    <t>\cite{huang2010physiological, dong2016vivo, feng2020yin}</t>
  </si>
  <si>
    <t>\cite{coccimiglio2020adp}</t>
  </si>
  <si>
    <t>\cite{hajdu2024basal, coccimiglio2020adp}</t>
  </si>
  <si>
    <t>\cite{hajdu2024basal}</t>
  </si>
  <si>
    <t>\cite{kim2014draft}</t>
  </si>
  <si>
    <t>experimental setup: 1E-6 - starve; 6E-6 - basal; \cite{}</t>
  </si>
  <si>
    <t>\cite{john2008dynamic}</t>
  </si>
  <si>
    <t>source</t>
  </si>
  <si>
    <t>exp. setup</t>
  </si>
  <si>
    <t>starvation: 1E-6</t>
  </si>
  <si>
    <t>basal: 6E-6</t>
  </si>
  <si>
    <t>AC</t>
  </si>
  <si>
    <t>200</t>
  </si>
  <si>
    <t>AC_Ga</t>
  </si>
  <si>
    <t>0</t>
  </si>
  <si>
    <t>AC_Gaa</t>
  </si>
  <si>
    <t>AKTa</t>
  </si>
  <si>
    <t>100</t>
  </si>
  <si>
    <t>375</t>
  </si>
  <si>
    <t>AMPKa</t>
  </si>
  <si>
    <t>ATG5</t>
  </si>
  <si>
    <t>ATG5_BCL2</t>
  </si>
  <si>
    <t>ATG5t</t>
  </si>
  <si>
    <t>30</t>
  </si>
  <si>
    <t>AUT</t>
  </si>
  <si>
    <t>BCL2</t>
  </si>
  <si>
    <t>50</t>
  </si>
  <si>
    <t>BCL2_Bax</t>
  </si>
  <si>
    <t>20</t>
  </si>
  <si>
    <t>BCL2_PUMA</t>
  </si>
  <si>
    <t>BEC1</t>
  </si>
  <si>
    <t>BEC1_BCL2</t>
  </si>
  <si>
    <t>BEC1_UVG</t>
  </si>
  <si>
    <t>Bax</t>
  </si>
  <si>
    <t>Baxa</t>
  </si>
  <si>
    <t>Bid</t>
  </si>
  <si>
    <t>CCH</t>
  </si>
  <si>
    <t>Ca2er</t>
  </si>
  <si>
    <t>1000</t>
  </si>
  <si>
    <t>Ca2ic</t>
  </si>
  <si>
    <t>CaMKKb</t>
  </si>
  <si>
    <t>CaMKKba</t>
  </si>
  <si>
    <t>Calpain</t>
  </si>
  <si>
    <t>Calpaina</t>
  </si>
  <si>
    <t>DAPK</t>
  </si>
  <si>
    <t>DAPKa</t>
  </si>
  <si>
    <t>DRAM</t>
  </si>
  <si>
    <t>EPAC</t>
  </si>
  <si>
    <t>10</t>
  </si>
  <si>
    <t>EPACa</t>
  </si>
  <si>
    <t>E_signal</t>
  </si>
  <si>
    <t>GPCRa</t>
  </si>
  <si>
    <t>Ga</t>
  </si>
  <si>
    <t>Gaa</t>
  </si>
  <si>
    <t>Gabc</t>
  </si>
  <si>
    <t>Gbc</t>
  </si>
  <si>
    <t>Glu_REF</t>
  </si>
  <si>
    <t>Glu_out</t>
  </si>
  <si>
    <t>IP3</t>
  </si>
  <si>
    <t>130</t>
  </si>
  <si>
    <t>IP3R</t>
  </si>
  <si>
    <t>IP3R_BCL2</t>
  </si>
  <si>
    <t>IP3R_IP3</t>
  </si>
  <si>
    <t>MDM2</t>
  </si>
  <si>
    <t>P53a_BCL2</t>
  </si>
  <si>
    <t>PLCea</t>
  </si>
  <si>
    <t>PLCe</t>
  </si>
  <si>
    <t>PIP2</t>
  </si>
  <si>
    <t>500</t>
  </si>
  <si>
    <t>PKA</t>
  </si>
  <si>
    <t>150</t>
  </si>
  <si>
    <t>PKAa</t>
  </si>
  <si>
    <t>PKC</t>
  </si>
  <si>
    <t>PKC_Ca2ic</t>
  </si>
  <si>
    <t>PUMA</t>
  </si>
  <si>
    <t>1E+12</t>
  </si>
  <si>
    <t>1.00E+12</t>
  </si>
  <si>
    <t>RHEBa</t>
  </si>
  <si>
    <t>300</t>
  </si>
  <si>
    <t>SERCA</t>
  </si>
  <si>
    <t>STV_signal</t>
  </si>
  <si>
    <t>TG</t>
  </si>
  <si>
    <t>TG_SERCA</t>
  </si>
  <si>
    <t>225</t>
  </si>
  <si>
    <t>TSCa</t>
  </si>
  <si>
    <t>70</t>
  </si>
  <si>
    <t>ULKa</t>
  </si>
  <si>
    <t>UVG</t>
  </si>
  <si>
    <t>UVG_Bax</t>
  </si>
  <si>
    <t>cAMP</t>
  </si>
  <si>
    <t>casp</t>
  </si>
  <si>
    <t>cytc</t>
  </si>
  <si>
    <t>cytcm</t>
  </si>
  <si>
    <t>dS</t>
  </si>
  <si>
    <t>mTOR</t>
  </si>
  <si>
    <t>mTOR_RAP</t>
  </si>
  <si>
    <t>mTORa</t>
  </si>
  <si>
    <t>p53</t>
  </si>
  <si>
    <t>25</t>
  </si>
  <si>
    <t>p53a</t>
  </si>
  <si>
    <t>phag</t>
  </si>
  <si>
    <t>preAUT</t>
  </si>
  <si>
    <t>procasp</t>
  </si>
  <si>
    <t>24</t>
  </si>
  <si>
    <t>tBid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</si>
</sst>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 wrapText="1"/>
    </xf>
    <xf numFmtId="0" fontId="18" fillId="0" borderId="0" xfId="42" applyFill="1"/>
    <xf numFmtId="0" fontId="0" fillId="0" borderId="0" xfId="0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0" xfId="42"/>
    <xf numFmtId="0" fontId="1" fillId="0" borderId="0" xfId="42" applyFont="1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11" fontId="0" fillId="0" borderId="0" xfId="0" applyNumberFormat="1" applyAlignment="1">
      <alignment horizontal="left" vertical="center" wrapText="1"/>
    </xf>
    <xf numFmtId="0" fontId="0" fillId="0" borderId="0" xfId="42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11" fontId="0" fillId="0" borderId="0" xfId="0" applyNumberFormat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x-db.org/dataset/9606/3805753743" TargetMode="External"/><Relationship Id="rId1" Type="http://schemas.openxmlformats.org/officeDocument/2006/relationships/hyperlink" Target="https://www.uniprot.org/uniprotkb/P63151/entry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B5DCF-2660-47F5-A107-C80DAD43DDBB}">
  <dimension ref="A1:O45"/>
  <sheetViews>
    <sheetView zoomScale="70" zoomScaleNormal="70" workbookViewId="0">
      <selection activeCell="F51" sqref="F51"/>
    </sheetView>
  </sheetViews>
  <sheetFormatPr defaultRowHeight="14.25" x14ac:dyDescent="0.45"/>
  <cols>
    <col min="1" max="1" width="17.19921875" customWidth="1"/>
    <col min="2" max="2" width="14.46484375" customWidth="1"/>
    <col min="3" max="3" width="16.06640625" customWidth="1"/>
    <col min="4" max="4" width="14.06640625" customWidth="1"/>
    <col min="5" max="5" width="42.9296875" customWidth="1"/>
    <col min="6" max="8" width="21.53125" customWidth="1"/>
    <col min="9" max="9" width="11.265625" customWidth="1"/>
    <col min="10" max="10" width="13.73046875" customWidth="1"/>
    <col min="11" max="11" width="15.46484375" customWidth="1"/>
    <col min="12" max="12" width="15.06640625" customWidth="1"/>
  </cols>
  <sheetData>
    <row r="1" spans="1:8" x14ac:dyDescent="0.45">
      <c r="A1" t="s">
        <v>0</v>
      </c>
      <c r="B1" t="s">
        <v>45</v>
      </c>
      <c r="C1" t="s">
        <v>46</v>
      </c>
      <c r="D1" t="s">
        <v>47</v>
      </c>
      <c r="E1" t="s">
        <v>48</v>
      </c>
    </row>
    <row r="2" spans="1:8" x14ac:dyDescent="0.45">
      <c r="A2" t="s">
        <v>1</v>
      </c>
      <c r="B2" s="1">
        <v>2E-8</v>
      </c>
      <c r="C2" s="1">
        <v>3.2999999999999998E-8</v>
      </c>
      <c r="D2" s="1">
        <v>4.0000000000000001E-8</v>
      </c>
      <c r="E2" t="s">
        <v>49</v>
      </c>
    </row>
    <row r="3" spans="1:8" x14ac:dyDescent="0.45">
      <c r="A3" t="s">
        <v>2</v>
      </c>
      <c r="B3" s="1">
        <v>1.0000000000000001E-9</v>
      </c>
      <c r="C3" s="1">
        <v>1.0000000000000001E-9</v>
      </c>
      <c r="D3" s="1">
        <v>1.0000000000000001E-9</v>
      </c>
      <c r="E3" t="s">
        <v>83</v>
      </c>
    </row>
    <row r="4" spans="1:8" x14ac:dyDescent="0.45">
      <c r="A4" t="s">
        <v>3</v>
      </c>
      <c r="B4" s="1">
        <v>3.0000000000000001E-6</v>
      </c>
      <c r="C4" s="1">
        <v>5.0000000000000004E-6</v>
      </c>
      <c r="D4" s="1">
        <v>6.9999999999999999E-6</v>
      </c>
      <c r="E4" t="s">
        <v>50</v>
      </c>
    </row>
    <row r="5" spans="1:8" x14ac:dyDescent="0.45">
      <c r="A5" t="s">
        <v>4</v>
      </c>
      <c r="B5" s="1">
        <v>4.9999999999999998E-8</v>
      </c>
      <c r="C5" s="1">
        <v>1.2499999999999999E-7</v>
      </c>
      <c r="D5" s="1">
        <v>1.9999999999999999E-7</v>
      </c>
      <c r="E5" t="s">
        <v>51</v>
      </c>
    </row>
    <row r="6" spans="1:8" x14ac:dyDescent="0.45">
      <c r="A6" t="s">
        <v>5</v>
      </c>
      <c r="B6" s="1">
        <v>5.0000000000000003E-10</v>
      </c>
      <c r="C6" s="1">
        <v>2.5000000000000001E-9</v>
      </c>
      <c r="D6" s="1">
        <v>5.0000000000000001E-9</v>
      </c>
      <c r="E6" t="s">
        <v>51</v>
      </c>
    </row>
    <row r="7" spans="1:8" x14ac:dyDescent="0.45">
      <c r="A7" t="s">
        <v>6</v>
      </c>
      <c r="B7" s="1">
        <v>1E-10</v>
      </c>
      <c r="C7" s="1">
        <v>1E-10</v>
      </c>
      <c r="D7" s="1">
        <v>1E-10</v>
      </c>
      <c r="E7" t="s">
        <v>52</v>
      </c>
      <c r="F7" s="12" t="s">
        <v>53</v>
      </c>
      <c r="G7" s="2"/>
      <c r="H7" s="2"/>
    </row>
    <row r="8" spans="1:8" x14ac:dyDescent="0.45">
      <c r="A8" t="s">
        <v>9</v>
      </c>
      <c r="B8" s="1">
        <v>1E-10</v>
      </c>
      <c r="C8" s="1">
        <v>1E-10</v>
      </c>
      <c r="D8" s="1">
        <v>1E-10</v>
      </c>
      <c r="E8" t="s">
        <v>52</v>
      </c>
      <c r="F8" s="12"/>
      <c r="G8" s="2"/>
      <c r="H8" s="2"/>
    </row>
    <row r="9" spans="1:8" x14ac:dyDescent="0.45">
      <c r="A9" t="s">
        <v>10</v>
      </c>
      <c r="B9" s="1">
        <v>1E-10</v>
      </c>
      <c r="C9" s="1">
        <v>1E-10</v>
      </c>
      <c r="D9" s="1">
        <v>1E-10</v>
      </c>
      <c r="E9" t="s">
        <v>52</v>
      </c>
      <c r="F9" s="12"/>
      <c r="G9" s="2"/>
      <c r="H9" s="2"/>
    </row>
    <row r="10" spans="1:8" x14ac:dyDescent="0.45">
      <c r="A10" t="s">
        <v>11</v>
      </c>
      <c r="B10" s="1">
        <v>1E-10</v>
      </c>
      <c r="C10" s="1">
        <v>1E-10</v>
      </c>
      <c r="D10" s="1">
        <v>1E-10</v>
      </c>
      <c r="E10" t="s">
        <v>52</v>
      </c>
      <c r="F10" s="12"/>
      <c r="G10" s="2"/>
      <c r="H10" s="2"/>
    </row>
    <row r="11" spans="1:8" x14ac:dyDescent="0.45">
      <c r="A11" t="s">
        <v>12</v>
      </c>
      <c r="B11" s="1">
        <v>0</v>
      </c>
      <c r="C11" s="1">
        <v>0</v>
      </c>
      <c r="D11" s="1">
        <v>0</v>
      </c>
      <c r="F11" s="12"/>
      <c r="G11" s="2"/>
      <c r="H11" s="2"/>
    </row>
    <row r="12" spans="1:8" x14ac:dyDescent="0.45">
      <c r="A12" t="s">
        <v>13</v>
      </c>
      <c r="B12" s="1">
        <v>0</v>
      </c>
      <c r="C12" s="1">
        <v>0</v>
      </c>
      <c r="D12" s="1">
        <v>0</v>
      </c>
      <c r="F12" s="12"/>
      <c r="G12" s="2"/>
      <c r="H12" s="2"/>
    </row>
    <row r="13" spans="1:8" x14ac:dyDescent="0.45">
      <c r="A13" t="s">
        <v>14</v>
      </c>
      <c r="B13" s="1">
        <v>0</v>
      </c>
      <c r="C13" s="1">
        <v>0</v>
      </c>
      <c r="D13" s="1">
        <v>0</v>
      </c>
      <c r="F13" s="12"/>
      <c r="G13" s="2"/>
      <c r="H13" s="2"/>
    </row>
    <row r="14" spans="1:8" x14ac:dyDescent="0.45">
      <c r="A14" t="s">
        <v>15</v>
      </c>
      <c r="B14" s="1">
        <v>0</v>
      </c>
      <c r="C14" s="1">
        <v>0</v>
      </c>
      <c r="D14" s="1">
        <v>0</v>
      </c>
      <c r="F14" s="12"/>
      <c r="G14" s="2"/>
      <c r="H14" s="2" t="s">
        <v>68</v>
      </c>
    </row>
    <row r="15" spans="1:8" x14ac:dyDescent="0.45">
      <c r="A15" t="s">
        <v>16</v>
      </c>
      <c r="B15">
        <v>0</v>
      </c>
      <c r="C15">
        <v>0</v>
      </c>
      <c r="D15">
        <v>0</v>
      </c>
    </row>
    <row r="16" spans="1:8" x14ac:dyDescent="0.45">
      <c r="A16" t="s">
        <v>17</v>
      </c>
      <c r="B16">
        <v>0</v>
      </c>
      <c r="C16">
        <v>0</v>
      </c>
      <c r="D16">
        <v>0</v>
      </c>
    </row>
    <row r="17" spans="1:15" x14ac:dyDescent="0.45">
      <c r="A17" t="s">
        <v>18</v>
      </c>
      <c r="B17">
        <v>0</v>
      </c>
      <c r="C17">
        <v>0</v>
      </c>
      <c r="D17">
        <v>0</v>
      </c>
    </row>
    <row r="18" spans="1:15" x14ac:dyDescent="0.45">
      <c r="A18" t="s">
        <v>19</v>
      </c>
      <c r="B18">
        <v>0</v>
      </c>
      <c r="C18">
        <v>0</v>
      </c>
      <c r="D18">
        <v>0</v>
      </c>
    </row>
    <row r="19" spans="1:15" x14ac:dyDescent="0.45">
      <c r="A19" t="s">
        <v>20</v>
      </c>
      <c r="B19">
        <v>0</v>
      </c>
      <c r="C19">
        <v>0</v>
      </c>
      <c r="D19">
        <v>0</v>
      </c>
    </row>
    <row r="20" spans="1:15" x14ac:dyDescent="0.45">
      <c r="A20" t="s">
        <v>21</v>
      </c>
      <c r="B20">
        <v>0</v>
      </c>
      <c r="C20">
        <v>0</v>
      </c>
      <c r="D20">
        <v>0</v>
      </c>
    </row>
    <row r="21" spans="1:15" x14ac:dyDescent="0.45">
      <c r="A21" t="s">
        <v>22</v>
      </c>
      <c r="B21">
        <v>0</v>
      </c>
      <c r="C21">
        <v>0</v>
      </c>
      <c r="D21">
        <v>0</v>
      </c>
      <c r="F21" s="13" t="s">
        <v>71</v>
      </c>
      <c r="G21" s="13"/>
      <c r="H21" s="13"/>
      <c r="L21" t="s">
        <v>77</v>
      </c>
      <c r="M21" s="6" t="s">
        <v>76</v>
      </c>
    </row>
    <row r="22" spans="1:15" x14ac:dyDescent="0.45">
      <c r="A22" t="s">
        <v>23</v>
      </c>
      <c r="B22">
        <v>0</v>
      </c>
      <c r="C22">
        <v>0</v>
      </c>
      <c r="D22">
        <v>0</v>
      </c>
      <c r="F22" t="s">
        <v>58</v>
      </c>
      <c r="G22" t="s">
        <v>59</v>
      </c>
      <c r="H22" t="s">
        <v>60</v>
      </c>
      <c r="M22" t="s">
        <v>78</v>
      </c>
    </row>
    <row r="23" spans="1:15" x14ac:dyDescent="0.45">
      <c r="A23" t="s">
        <v>7</v>
      </c>
      <c r="B23" s="1">
        <f>(F23*J28)/($I$28*$I$31)</f>
        <v>2.1292408163265306E-11</v>
      </c>
      <c r="C23" s="1">
        <f t="shared" ref="C23:D23" si="0">(G23*K28)/($I$28*$I$31)</f>
        <v>2.8786938775510202E-11</v>
      </c>
      <c r="D23" s="1">
        <f t="shared" si="0"/>
        <v>3.7150040816326529E-11</v>
      </c>
      <c r="E23" t="s">
        <v>81</v>
      </c>
      <c r="F23" s="1">
        <f>G23-0.2*G23</f>
        <v>2.4320000000000002E-6</v>
      </c>
      <c r="G23" s="1">
        <v>3.0400000000000001E-6</v>
      </c>
      <c r="H23" s="1">
        <f>G23+0.2*G23</f>
        <v>3.6480000000000001E-6</v>
      </c>
      <c r="I23" s="12" t="s">
        <v>57</v>
      </c>
      <c r="J23" s="12"/>
      <c r="K23" s="12"/>
      <c r="L23" s="12"/>
      <c r="M23" t="s">
        <v>54</v>
      </c>
      <c r="N23" s="3"/>
      <c r="O23" s="3"/>
    </row>
    <row r="24" spans="1:15" x14ac:dyDescent="0.45">
      <c r="A24" t="s">
        <v>8</v>
      </c>
      <c r="B24" s="1">
        <f>(F24*J28)/($I$28*$I$32)</f>
        <v>2.856161073825503E-10</v>
      </c>
      <c r="C24" s="1">
        <f t="shared" ref="C24:D24" si="1">(G24*K28)/($I$28*$I$32)</f>
        <v>3.8614765100671136E-10</v>
      </c>
      <c r="D24" s="1">
        <f t="shared" si="1"/>
        <v>4.9833020134228194E-10</v>
      </c>
      <c r="E24" s="7" t="s">
        <v>81</v>
      </c>
      <c r="F24" s="1">
        <f t="shared" ref="F24:F25" si="2">G24-0.2*G24</f>
        <v>9.9199999999999999E-5</v>
      </c>
      <c r="G24" s="1">
        <v>1.2400000000000001E-4</v>
      </c>
      <c r="H24" s="1">
        <f t="shared" ref="H24:H25" si="3">G24+0.2*G24</f>
        <v>1.4880000000000001E-4</v>
      </c>
      <c r="I24" s="12"/>
      <c r="J24" s="12"/>
      <c r="K24" s="12"/>
      <c r="L24" s="12"/>
      <c r="M24" s="3" t="s">
        <v>55</v>
      </c>
    </row>
    <row r="25" spans="1:15" ht="14.55" customHeight="1" x14ac:dyDescent="0.45">
      <c r="A25" t="s">
        <v>25</v>
      </c>
      <c r="B25" s="1">
        <f>(F25*J28)/($I$28*$I$33)</f>
        <v>1.4744888888888888E-10</v>
      </c>
      <c r="C25" s="1">
        <f>(G25*K28)/($I$28*$I$33)</f>
        <v>1.9934814814814813E-10</v>
      </c>
      <c r="D25" s="1">
        <f t="shared" ref="D25" si="4">(H25*L28)/($I$28*$I$33)</f>
        <v>2.5726222222222223E-10</v>
      </c>
      <c r="E25" s="7" t="s">
        <v>81</v>
      </c>
      <c r="F25" s="1">
        <f t="shared" si="2"/>
        <v>1.8560000000000002E-5</v>
      </c>
      <c r="G25" s="1">
        <v>2.3200000000000001E-5</v>
      </c>
      <c r="H25" s="1">
        <f t="shared" si="3"/>
        <v>2.7840000000000001E-5</v>
      </c>
      <c r="I25" s="12"/>
      <c r="J25" s="12"/>
      <c r="K25" s="12"/>
      <c r="L25" s="12"/>
      <c r="M25" s="3" t="s">
        <v>56</v>
      </c>
    </row>
    <row r="26" spans="1:15" ht="16.05" customHeight="1" x14ac:dyDescent="0.45">
      <c r="A26" t="s">
        <v>24</v>
      </c>
      <c r="B26" s="1">
        <v>9.9999999999999995E-7</v>
      </c>
      <c r="C26" s="1">
        <v>9.9999999999999995E-7</v>
      </c>
      <c r="D26" s="1">
        <v>9.9999999999999995E-7</v>
      </c>
      <c r="E26" s="7" t="s">
        <v>84</v>
      </c>
      <c r="I26" t="s">
        <v>62</v>
      </c>
      <c r="J26" s="13" t="s">
        <v>63</v>
      </c>
      <c r="K26" s="13"/>
      <c r="L26" s="13"/>
    </row>
    <row r="27" spans="1:15" x14ac:dyDescent="0.45">
      <c r="A27" t="s">
        <v>26</v>
      </c>
      <c r="B27" s="1">
        <v>8.4999999999999994E-8</v>
      </c>
      <c r="C27" s="1">
        <v>3.9999999999999998E-7</v>
      </c>
      <c r="D27" s="1">
        <v>5.5000000000000003E-7</v>
      </c>
      <c r="E27" t="s">
        <v>82</v>
      </c>
      <c r="I27" t="s">
        <v>85</v>
      </c>
      <c r="J27" t="s">
        <v>58</v>
      </c>
      <c r="K27" t="s">
        <v>59</v>
      </c>
      <c r="L27" t="s">
        <v>60</v>
      </c>
    </row>
    <row r="28" spans="1:15" ht="14" customHeight="1" x14ac:dyDescent="0.45">
      <c r="A28" t="s">
        <v>27</v>
      </c>
      <c r="B28">
        <v>0</v>
      </c>
      <c r="C28">
        <v>0</v>
      </c>
      <c r="D28">
        <v>0</v>
      </c>
      <c r="H28" t="s">
        <v>61</v>
      </c>
      <c r="I28" s="1">
        <v>1.0000000000000001E-9</v>
      </c>
      <c r="J28" s="1">
        <v>4.2900000000000002E-10</v>
      </c>
      <c r="K28" s="1">
        <v>4.64E-10</v>
      </c>
      <c r="L28" s="1">
        <v>4.9900000000000003E-10</v>
      </c>
    </row>
    <row r="29" spans="1:15" ht="16.05" customHeight="1" thickBot="1" x14ac:dyDescent="0.5">
      <c r="A29" t="s">
        <v>28</v>
      </c>
      <c r="B29">
        <v>0</v>
      </c>
      <c r="C29">
        <v>0</v>
      </c>
      <c r="D29">
        <v>0</v>
      </c>
      <c r="J29" s="12" t="s">
        <v>67</v>
      </c>
      <c r="K29" s="5" t="s">
        <v>69</v>
      </c>
      <c r="L29" s="12" t="s">
        <v>64</v>
      </c>
      <c r="M29" s="4"/>
      <c r="N29" s="4"/>
    </row>
    <row r="30" spans="1:15" x14ac:dyDescent="0.45">
      <c r="A30" t="s">
        <v>29</v>
      </c>
      <c r="B30">
        <v>0</v>
      </c>
      <c r="C30">
        <v>0</v>
      </c>
      <c r="D30">
        <v>0</v>
      </c>
      <c r="I30" t="s">
        <v>65</v>
      </c>
      <c r="J30" s="12"/>
      <c r="K30" s="2" t="s">
        <v>70</v>
      </c>
      <c r="L30" s="12"/>
      <c r="M30" s="4"/>
      <c r="N30" s="4"/>
    </row>
    <row r="31" spans="1:15" x14ac:dyDescent="0.45">
      <c r="A31" t="s">
        <v>30</v>
      </c>
      <c r="B31" s="1">
        <v>5.0000000000000002E-11</v>
      </c>
      <c r="C31" s="1">
        <v>1E-10</v>
      </c>
      <c r="D31" s="1">
        <v>2.0000000000000001E-10</v>
      </c>
      <c r="E31" t="s">
        <v>52</v>
      </c>
      <c r="H31" t="s">
        <v>74</v>
      </c>
      <c r="I31">
        <v>49000</v>
      </c>
      <c r="J31" t="s">
        <v>66</v>
      </c>
    </row>
    <row r="32" spans="1:15" x14ac:dyDescent="0.45">
      <c r="A32" t="s">
        <v>31</v>
      </c>
      <c r="B32">
        <v>0</v>
      </c>
      <c r="C32">
        <v>0</v>
      </c>
      <c r="D32">
        <v>0</v>
      </c>
      <c r="H32" t="s">
        <v>73</v>
      </c>
      <c r="I32">
        <v>149000</v>
      </c>
      <c r="J32" s="3" t="s">
        <v>79</v>
      </c>
      <c r="K32" t="s">
        <v>80</v>
      </c>
    </row>
    <row r="33" spans="1:10" x14ac:dyDescent="0.45">
      <c r="A33" t="s">
        <v>32</v>
      </c>
      <c r="B33" s="1">
        <v>1.875E-10</v>
      </c>
      <c r="C33" s="1">
        <v>3.75E-10</v>
      </c>
      <c r="D33" s="1">
        <v>7.5E-10</v>
      </c>
      <c r="E33" t="s">
        <v>52</v>
      </c>
      <c r="H33" t="s">
        <v>72</v>
      </c>
      <c r="I33">
        <v>54000</v>
      </c>
      <c r="J33" t="s">
        <v>75</v>
      </c>
    </row>
    <row r="34" spans="1:10" x14ac:dyDescent="0.45">
      <c r="A34" t="s">
        <v>33</v>
      </c>
      <c r="B34">
        <v>0</v>
      </c>
      <c r="C34">
        <v>0</v>
      </c>
      <c r="D34">
        <v>0</v>
      </c>
    </row>
    <row r="35" spans="1:10" x14ac:dyDescent="0.45">
      <c r="A35" t="s">
        <v>34</v>
      </c>
      <c r="B35" s="1">
        <v>1.5E-10</v>
      </c>
      <c r="C35" s="1">
        <v>3E-10</v>
      </c>
      <c r="D35" s="1">
        <v>6E-10</v>
      </c>
      <c r="E35" t="s">
        <v>52</v>
      </c>
    </row>
    <row r="36" spans="1:10" x14ac:dyDescent="0.45">
      <c r="A36" t="s">
        <v>35</v>
      </c>
      <c r="B36" s="1">
        <v>1.125E-10</v>
      </c>
      <c r="C36" s="1">
        <v>2.25E-10</v>
      </c>
      <c r="D36" s="1">
        <v>4.5E-10</v>
      </c>
      <c r="E36" t="s">
        <v>52</v>
      </c>
    </row>
    <row r="37" spans="1:10" x14ac:dyDescent="0.45">
      <c r="A37" t="s">
        <v>36</v>
      </c>
      <c r="B37">
        <v>0</v>
      </c>
      <c r="C37">
        <v>0</v>
      </c>
      <c r="D37">
        <v>0</v>
      </c>
    </row>
    <row r="38" spans="1:10" x14ac:dyDescent="0.45">
      <c r="A38" t="s">
        <v>37</v>
      </c>
      <c r="B38" s="1">
        <v>3.5000000000000002E-11</v>
      </c>
      <c r="C38" s="1">
        <v>7.0000000000000004E-11</v>
      </c>
      <c r="D38" s="1">
        <v>1.4000000000000001E-10</v>
      </c>
      <c r="E38" t="s">
        <v>52</v>
      </c>
    </row>
    <row r="39" spans="1:10" x14ac:dyDescent="0.45">
      <c r="A39" t="s">
        <v>38</v>
      </c>
      <c r="B39">
        <v>0</v>
      </c>
      <c r="C39">
        <v>0</v>
      </c>
      <c r="D39">
        <v>0</v>
      </c>
    </row>
    <row r="40" spans="1:10" x14ac:dyDescent="0.45">
      <c r="A40" t="s">
        <v>39</v>
      </c>
      <c r="B40">
        <v>0</v>
      </c>
      <c r="C40">
        <v>0</v>
      </c>
      <c r="D40">
        <v>0</v>
      </c>
    </row>
    <row r="41" spans="1:10" x14ac:dyDescent="0.45">
      <c r="A41" t="s">
        <v>40</v>
      </c>
      <c r="B41">
        <v>0</v>
      </c>
      <c r="C41">
        <v>0</v>
      </c>
      <c r="D41">
        <v>0</v>
      </c>
    </row>
    <row r="42" spans="1:10" x14ac:dyDescent="0.45">
      <c r="A42" t="s">
        <v>41</v>
      </c>
      <c r="B42" s="1">
        <v>6.9999999999999996E-10</v>
      </c>
      <c r="C42" s="1">
        <v>6.9999999999999996E-10</v>
      </c>
      <c r="D42" s="1">
        <v>6.9999999999999996E-10</v>
      </c>
      <c r="E42" t="s">
        <v>52</v>
      </c>
    </row>
    <row r="43" spans="1:10" x14ac:dyDescent="0.45">
      <c r="A43" t="s">
        <v>42</v>
      </c>
      <c r="B43">
        <v>0</v>
      </c>
      <c r="C43">
        <v>0</v>
      </c>
      <c r="D43">
        <v>0</v>
      </c>
    </row>
    <row r="44" spans="1:10" x14ac:dyDescent="0.45">
      <c r="A44" t="s">
        <v>43</v>
      </c>
      <c r="B44" s="1">
        <v>5.0000000000000002E-5</v>
      </c>
      <c r="C44" s="1">
        <v>5.0000000000000002E-5</v>
      </c>
      <c r="D44" s="1">
        <v>5.0000000000000002E-5</v>
      </c>
      <c r="E44" t="s">
        <v>52</v>
      </c>
    </row>
    <row r="45" spans="1:10" x14ac:dyDescent="0.45">
      <c r="A45" t="s">
        <v>44</v>
      </c>
      <c r="B45">
        <v>1</v>
      </c>
      <c r="C45">
        <v>1</v>
      </c>
      <c r="D45">
        <v>1</v>
      </c>
    </row>
  </sheetData>
  <mergeCells count="6">
    <mergeCell ref="L29:L30"/>
    <mergeCell ref="F7:F14"/>
    <mergeCell ref="I23:L25"/>
    <mergeCell ref="F21:H21"/>
    <mergeCell ref="J26:L26"/>
    <mergeCell ref="J29:J30"/>
  </mergeCells>
  <hyperlinks>
    <hyperlink ref="J32" r:id="rId1" location="interaction" xr:uid="{0F6E7EC5-A3A3-4C21-92FE-8D5846B75515}"/>
    <hyperlink ref="M21" r:id="rId2" display="https://pax-db.org/dataset/9606/3805753743" xr:uid="{9FE2F0B8-4B02-4E03-8105-D0E7130D56A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7870-240A-4EBC-A326-F2913D1F297B}">
  <dimension ref="A1:D45"/>
  <sheetViews>
    <sheetView zoomScale="80" zoomScaleNormal="80" workbookViewId="0">
      <selection activeCell="J22" sqref="J22"/>
    </sheetView>
  </sheetViews>
  <sheetFormatPr defaultRowHeight="14.25" x14ac:dyDescent="0.45"/>
  <cols>
    <col min="1" max="1" width="17" customWidth="1"/>
  </cols>
  <sheetData>
    <row r="1" spans="1:4" x14ac:dyDescent="0.45">
      <c r="A1" t="s">
        <v>0</v>
      </c>
      <c r="B1" t="s">
        <v>45</v>
      </c>
      <c r="C1" t="s">
        <v>46</v>
      </c>
      <c r="D1" t="s">
        <v>47</v>
      </c>
    </row>
    <row r="2" spans="1:4" x14ac:dyDescent="0.45">
      <c r="A2" t="s">
        <v>1</v>
      </c>
      <c r="B2" s="1">
        <v>2E-8</v>
      </c>
      <c r="C2" s="1">
        <v>3.2999999999999998E-8</v>
      </c>
      <c r="D2" s="1">
        <v>4.0000000000000001E-8</v>
      </c>
    </row>
    <row r="3" spans="1:4" x14ac:dyDescent="0.45">
      <c r="A3" t="s">
        <v>2</v>
      </c>
      <c r="B3" s="1">
        <v>1.0000000000000001E-9</v>
      </c>
      <c r="C3" s="1">
        <v>1.0000000000000001E-9</v>
      </c>
      <c r="D3" s="1">
        <v>1.0000000000000001E-9</v>
      </c>
    </row>
    <row r="4" spans="1:4" x14ac:dyDescent="0.45">
      <c r="A4" t="s">
        <v>3</v>
      </c>
      <c r="B4" s="1">
        <v>3.0000000000000001E-6</v>
      </c>
      <c r="C4" s="1">
        <v>5.0000000000000004E-6</v>
      </c>
      <c r="D4" s="1">
        <v>6.9999999999999999E-6</v>
      </c>
    </row>
    <row r="5" spans="1:4" x14ac:dyDescent="0.45">
      <c r="A5" t="s">
        <v>4</v>
      </c>
      <c r="B5" s="1">
        <v>4.9999999999999998E-8</v>
      </c>
      <c r="C5" s="1">
        <v>1.2499999999999999E-7</v>
      </c>
      <c r="D5" s="1">
        <v>1.9999999999999999E-7</v>
      </c>
    </row>
    <row r="6" spans="1:4" x14ac:dyDescent="0.45">
      <c r="A6" t="s">
        <v>5</v>
      </c>
      <c r="B6" s="1">
        <v>5.0000000000000003E-10</v>
      </c>
      <c r="C6" s="1">
        <v>2.5000000000000001E-9</v>
      </c>
      <c r="D6" s="1">
        <v>5.0000000000000001E-9</v>
      </c>
    </row>
    <row r="7" spans="1:4" x14ac:dyDescent="0.45">
      <c r="A7" t="s">
        <v>6</v>
      </c>
      <c r="B7" s="1">
        <v>1E-10</v>
      </c>
      <c r="C7" s="1">
        <v>1E-10</v>
      </c>
      <c r="D7" s="1">
        <v>1E-10</v>
      </c>
    </row>
    <row r="8" spans="1:4" x14ac:dyDescent="0.45">
      <c r="A8" t="s">
        <v>9</v>
      </c>
      <c r="B8" s="1">
        <v>1E-10</v>
      </c>
      <c r="C8" s="1">
        <v>1E-10</v>
      </c>
      <c r="D8" s="1">
        <v>1E-10</v>
      </c>
    </row>
    <row r="9" spans="1:4" x14ac:dyDescent="0.45">
      <c r="A9" t="s">
        <v>10</v>
      </c>
      <c r="B9" s="1">
        <v>1E-10</v>
      </c>
      <c r="C9" s="1">
        <v>1E-10</v>
      </c>
      <c r="D9" s="1">
        <v>1E-10</v>
      </c>
    </row>
    <row r="10" spans="1:4" x14ac:dyDescent="0.45">
      <c r="A10" t="s">
        <v>11</v>
      </c>
      <c r="B10" s="1">
        <v>1E-10</v>
      </c>
      <c r="C10" s="1">
        <v>1E-10</v>
      </c>
      <c r="D10" s="1">
        <v>1E-10</v>
      </c>
    </row>
    <row r="11" spans="1:4" x14ac:dyDescent="0.45">
      <c r="A11" t="s">
        <v>12</v>
      </c>
      <c r="B11" s="1">
        <v>0</v>
      </c>
      <c r="C11" s="1">
        <v>0</v>
      </c>
      <c r="D11" s="1">
        <v>0</v>
      </c>
    </row>
    <row r="12" spans="1:4" x14ac:dyDescent="0.45">
      <c r="A12" t="s">
        <v>13</v>
      </c>
      <c r="B12" s="1">
        <v>0</v>
      </c>
      <c r="C12" s="1">
        <v>0</v>
      </c>
      <c r="D12" s="1">
        <v>0</v>
      </c>
    </row>
    <row r="13" spans="1:4" x14ac:dyDescent="0.45">
      <c r="A13" t="s">
        <v>14</v>
      </c>
      <c r="B13" s="1">
        <v>0</v>
      </c>
      <c r="C13" s="1">
        <v>0</v>
      </c>
      <c r="D13" s="1">
        <v>0</v>
      </c>
    </row>
    <row r="14" spans="1:4" x14ac:dyDescent="0.45">
      <c r="A14" t="s">
        <v>15</v>
      </c>
      <c r="B14" s="1">
        <v>0</v>
      </c>
      <c r="C14" s="1">
        <v>0</v>
      </c>
      <c r="D14" s="1">
        <v>0</v>
      </c>
    </row>
    <row r="15" spans="1:4" x14ac:dyDescent="0.45">
      <c r="A15" t="s">
        <v>16</v>
      </c>
      <c r="B15" s="1">
        <v>0</v>
      </c>
      <c r="C15" s="1">
        <v>0</v>
      </c>
      <c r="D15" s="1">
        <v>0</v>
      </c>
    </row>
    <row r="16" spans="1:4" x14ac:dyDescent="0.45">
      <c r="A16" t="s">
        <v>17</v>
      </c>
      <c r="B16" s="1">
        <v>0</v>
      </c>
      <c r="C16" s="1">
        <v>0</v>
      </c>
      <c r="D16" s="1">
        <v>0</v>
      </c>
    </row>
    <row r="17" spans="1:4" x14ac:dyDescent="0.45">
      <c r="A17" t="s">
        <v>18</v>
      </c>
      <c r="B17" s="1">
        <v>0</v>
      </c>
      <c r="C17" s="1">
        <v>0</v>
      </c>
      <c r="D17" s="1">
        <v>0</v>
      </c>
    </row>
    <row r="18" spans="1:4" x14ac:dyDescent="0.45">
      <c r="A18" t="s">
        <v>19</v>
      </c>
      <c r="B18" s="1">
        <v>0</v>
      </c>
      <c r="C18" s="1">
        <v>0</v>
      </c>
      <c r="D18" s="1">
        <v>0</v>
      </c>
    </row>
    <row r="19" spans="1:4" x14ac:dyDescent="0.45">
      <c r="A19" t="s">
        <v>20</v>
      </c>
      <c r="B19" s="1">
        <v>0</v>
      </c>
      <c r="C19" s="1">
        <v>0</v>
      </c>
      <c r="D19" s="1">
        <v>0</v>
      </c>
    </row>
    <row r="20" spans="1:4" x14ac:dyDescent="0.45">
      <c r="A20" t="s">
        <v>21</v>
      </c>
      <c r="B20" s="1">
        <v>0</v>
      </c>
      <c r="C20" s="1">
        <v>0</v>
      </c>
      <c r="D20" s="1">
        <v>0</v>
      </c>
    </row>
    <row r="21" spans="1:4" x14ac:dyDescent="0.45">
      <c r="A21" t="s">
        <v>22</v>
      </c>
      <c r="B21" s="1">
        <v>0</v>
      </c>
      <c r="C21" s="1">
        <v>0</v>
      </c>
      <c r="D21" s="1">
        <v>0</v>
      </c>
    </row>
    <row r="22" spans="1:4" x14ac:dyDescent="0.45">
      <c r="A22" t="s">
        <v>23</v>
      </c>
      <c r="B22" s="1">
        <v>0</v>
      </c>
      <c r="C22" s="1">
        <v>0</v>
      </c>
      <c r="D22" s="1">
        <v>0</v>
      </c>
    </row>
    <row r="23" spans="1:4" x14ac:dyDescent="0.45">
      <c r="A23" t="s">
        <v>7</v>
      </c>
      <c r="B23" s="1">
        <v>2.1292408163265306E-11</v>
      </c>
      <c r="C23" s="1">
        <v>2.8786938775510202E-11</v>
      </c>
      <c r="D23" s="1">
        <v>3.7150040816326529E-11</v>
      </c>
    </row>
    <row r="24" spans="1:4" x14ac:dyDescent="0.45">
      <c r="A24" t="s">
        <v>8</v>
      </c>
      <c r="B24" s="1">
        <v>2.856161073825503E-10</v>
      </c>
      <c r="C24" s="1">
        <v>3.8614765100671136E-10</v>
      </c>
      <c r="D24" s="1">
        <v>4.9833020134228194E-10</v>
      </c>
    </row>
    <row r="25" spans="1:4" x14ac:dyDescent="0.45">
      <c r="A25" t="s">
        <v>25</v>
      </c>
      <c r="B25" s="1">
        <v>1.4744888888888888E-10</v>
      </c>
      <c r="C25" s="1">
        <v>1.9934814814814813E-10</v>
      </c>
      <c r="D25" s="1">
        <v>2.5726222222222223E-10</v>
      </c>
    </row>
    <row r="26" spans="1:4" x14ac:dyDescent="0.45">
      <c r="A26" t="s">
        <v>24</v>
      </c>
      <c r="B26" s="1">
        <v>9.9999999999999995E-7</v>
      </c>
      <c r="C26" s="1">
        <v>9.9999999999999995E-7</v>
      </c>
      <c r="D26" s="1">
        <v>9.9999999999999995E-7</v>
      </c>
    </row>
    <row r="27" spans="1:4" x14ac:dyDescent="0.45">
      <c r="A27" t="s">
        <v>26</v>
      </c>
      <c r="B27" s="1">
        <v>8.4999999999999994E-8</v>
      </c>
      <c r="C27" s="1">
        <v>3.9999999999999998E-7</v>
      </c>
      <c r="D27" s="1">
        <v>5.5000000000000003E-7</v>
      </c>
    </row>
    <row r="28" spans="1:4" x14ac:dyDescent="0.45">
      <c r="A28" t="s">
        <v>27</v>
      </c>
      <c r="B28" s="1">
        <v>0</v>
      </c>
      <c r="C28" s="1">
        <v>0</v>
      </c>
      <c r="D28" s="1">
        <v>0</v>
      </c>
    </row>
    <row r="29" spans="1:4" x14ac:dyDescent="0.45">
      <c r="A29" t="s">
        <v>28</v>
      </c>
      <c r="B29" s="1">
        <v>0</v>
      </c>
      <c r="C29" s="1">
        <v>0</v>
      </c>
      <c r="D29" s="1">
        <v>0</v>
      </c>
    </row>
    <row r="30" spans="1:4" x14ac:dyDescent="0.45">
      <c r="A30" t="s">
        <v>29</v>
      </c>
      <c r="B30" s="1">
        <v>0</v>
      </c>
      <c r="C30" s="1">
        <v>0</v>
      </c>
      <c r="D30" s="1">
        <v>0</v>
      </c>
    </row>
    <row r="31" spans="1:4" x14ac:dyDescent="0.45">
      <c r="A31" t="s">
        <v>30</v>
      </c>
      <c r="B31" s="1">
        <v>5.0000000000000002E-11</v>
      </c>
      <c r="C31" s="1">
        <v>1E-10</v>
      </c>
      <c r="D31" s="1">
        <v>2.0000000000000001E-10</v>
      </c>
    </row>
    <row r="32" spans="1:4" x14ac:dyDescent="0.45">
      <c r="A32" t="s">
        <v>31</v>
      </c>
      <c r="B32" s="1">
        <v>0</v>
      </c>
      <c r="C32" s="1">
        <v>0</v>
      </c>
      <c r="D32" s="1">
        <v>0</v>
      </c>
    </row>
    <row r="33" spans="1:4" x14ac:dyDescent="0.45">
      <c r="A33" t="s">
        <v>32</v>
      </c>
      <c r="B33" s="1">
        <v>1.875E-10</v>
      </c>
      <c r="C33" s="1">
        <v>3.75E-10</v>
      </c>
      <c r="D33" s="1">
        <v>7.5E-10</v>
      </c>
    </row>
    <row r="34" spans="1:4" x14ac:dyDescent="0.45">
      <c r="A34" t="s">
        <v>33</v>
      </c>
      <c r="B34" s="1">
        <v>0</v>
      </c>
      <c r="C34" s="1">
        <v>0</v>
      </c>
      <c r="D34" s="1">
        <v>0</v>
      </c>
    </row>
    <row r="35" spans="1:4" x14ac:dyDescent="0.45">
      <c r="A35" t="s">
        <v>34</v>
      </c>
      <c r="B35" s="1">
        <v>1.5E-10</v>
      </c>
      <c r="C35" s="1">
        <v>3E-10</v>
      </c>
      <c r="D35" s="1">
        <v>6E-10</v>
      </c>
    </row>
    <row r="36" spans="1:4" x14ac:dyDescent="0.45">
      <c r="A36" t="s">
        <v>35</v>
      </c>
      <c r="B36" s="1">
        <v>1.125E-10</v>
      </c>
      <c r="C36" s="1">
        <v>2.25E-10</v>
      </c>
      <c r="D36" s="1">
        <v>4.5E-10</v>
      </c>
    </row>
    <row r="37" spans="1:4" x14ac:dyDescent="0.45">
      <c r="A37" t="s">
        <v>36</v>
      </c>
      <c r="B37" s="1">
        <v>0</v>
      </c>
      <c r="C37" s="1">
        <v>0</v>
      </c>
      <c r="D37" s="1">
        <v>0</v>
      </c>
    </row>
    <row r="38" spans="1:4" x14ac:dyDescent="0.45">
      <c r="A38" t="s">
        <v>37</v>
      </c>
      <c r="B38" s="1">
        <v>3.5000000000000002E-11</v>
      </c>
      <c r="C38" s="1">
        <v>7.0000000000000004E-11</v>
      </c>
      <c r="D38" s="1">
        <v>1.4000000000000001E-10</v>
      </c>
    </row>
    <row r="39" spans="1:4" x14ac:dyDescent="0.45">
      <c r="A39" t="s">
        <v>38</v>
      </c>
      <c r="B39" s="1">
        <v>0</v>
      </c>
      <c r="C39" s="1">
        <v>0</v>
      </c>
      <c r="D39" s="1">
        <v>0</v>
      </c>
    </row>
    <row r="40" spans="1:4" x14ac:dyDescent="0.45">
      <c r="A40" t="s">
        <v>39</v>
      </c>
      <c r="B40" s="1">
        <v>0</v>
      </c>
      <c r="C40" s="1">
        <v>0</v>
      </c>
      <c r="D40" s="1">
        <v>0</v>
      </c>
    </row>
    <row r="41" spans="1:4" x14ac:dyDescent="0.45">
      <c r="A41" t="s">
        <v>40</v>
      </c>
      <c r="B41" s="1">
        <v>0</v>
      </c>
      <c r="C41" s="1">
        <v>0</v>
      </c>
      <c r="D41" s="1">
        <v>0</v>
      </c>
    </row>
    <row r="42" spans="1:4" x14ac:dyDescent="0.45">
      <c r="A42" t="s">
        <v>41</v>
      </c>
      <c r="B42" s="1">
        <v>6.9999999999999996E-10</v>
      </c>
      <c r="C42" s="1">
        <v>6.9999999999999996E-10</v>
      </c>
      <c r="D42" s="1">
        <v>6.9999999999999996E-10</v>
      </c>
    </row>
    <row r="43" spans="1:4" x14ac:dyDescent="0.45">
      <c r="A43" t="s">
        <v>42</v>
      </c>
      <c r="B43" s="1">
        <v>0</v>
      </c>
      <c r="C43" s="1">
        <v>0</v>
      </c>
      <c r="D43" s="1">
        <v>0</v>
      </c>
    </row>
    <row r="44" spans="1:4" x14ac:dyDescent="0.45">
      <c r="A44" t="s">
        <v>43</v>
      </c>
      <c r="B44" s="1">
        <v>5.0000000000000002E-5</v>
      </c>
      <c r="C44" s="1">
        <v>5.0000000000000002E-5</v>
      </c>
      <c r="D44" s="1">
        <v>5.0000000000000002E-5</v>
      </c>
    </row>
    <row r="45" spans="1:4" x14ac:dyDescent="0.45">
      <c r="A45" t="s">
        <v>44</v>
      </c>
      <c r="B45" s="1">
        <v>1</v>
      </c>
      <c r="C45" s="1">
        <v>1</v>
      </c>
      <c r="D45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96FA-8362-4CCD-BA89-2387A6C323E1}">
  <dimension ref="A1:D83"/>
  <sheetViews>
    <sheetView tabSelected="1" workbookViewId="0">
      <selection activeCell="I18" sqref="I18"/>
    </sheetView>
  </sheetViews>
  <sheetFormatPr defaultRowHeight="14.25" x14ac:dyDescent="0.45"/>
  <sheetData>
    <row r="1" spans="1:4" x14ac:dyDescent="0.45">
      <c r="A1" t="s">
        <v>0</v>
      </c>
      <c r="B1" t="s">
        <v>45</v>
      </c>
      <c r="C1" t="s">
        <v>46</v>
      </c>
      <c r="D1" t="s">
        <v>47</v>
      </c>
    </row>
    <row r="2" spans="1:4" x14ac:dyDescent="0.45">
      <c r="A2" t="s">
        <v>103</v>
      </c>
      <c r="B2" t="s">
        <v>104</v>
      </c>
      <c r="C2" t="s">
        <v>104</v>
      </c>
      <c r="D2" t="s">
        <v>104</v>
      </c>
    </row>
    <row r="3" spans="1:4" x14ac:dyDescent="0.45">
      <c r="A3" t="s">
        <v>105</v>
      </c>
      <c r="B3" t="s">
        <v>106</v>
      </c>
      <c r="C3" t="s">
        <v>106</v>
      </c>
      <c r="D3" t="s">
        <v>106</v>
      </c>
    </row>
    <row r="4" spans="1:4" x14ac:dyDescent="0.45">
      <c r="A4" t="s">
        <v>107</v>
      </c>
      <c r="B4" t="s">
        <v>106</v>
      </c>
      <c r="C4" t="s">
        <v>106</v>
      </c>
      <c r="D4" t="s">
        <v>106</v>
      </c>
    </row>
    <row r="5" spans="1:4" x14ac:dyDescent="0.45">
      <c r="A5" t="s">
        <v>29</v>
      </c>
      <c r="B5" t="s">
        <v>106</v>
      </c>
      <c r="C5" t="s">
        <v>106</v>
      </c>
      <c r="D5" t="s">
        <v>106</v>
      </c>
    </row>
    <row r="6" spans="1:4" x14ac:dyDescent="0.45">
      <c r="A6" t="s">
        <v>108</v>
      </c>
      <c r="B6" t="s">
        <v>109</v>
      </c>
      <c r="C6" t="s">
        <v>109</v>
      </c>
      <c r="D6" t="s">
        <v>109</v>
      </c>
    </row>
    <row r="7" spans="1:4" x14ac:dyDescent="0.45">
      <c r="A7" t="s">
        <v>6</v>
      </c>
      <c r="B7" t="s">
        <v>110</v>
      </c>
      <c r="C7" t="s">
        <v>110</v>
      </c>
      <c r="D7" t="s">
        <v>110</v>
      </c>
    </row>
    <row r="8" spans="1:4" x14ac:dyDescent="0.45">
      <c r="A8" t="s">
        <v>111</v>
      </c>
      <c r="B8" t="s">
        <v>106</v>
      </c>
      <c r="C8" t="s">
        <v>106</v>
      </c>
      <c r="D8" t="s">
        <v>106</v>
      </c>
    </row>
    <row r="9" spans="1:4" x14ac:dyDescent="0.45">
      <c r="A9" t="s">
        <v>112</v>
      </c>
      <c r="B9" t="s">
        <v>104</v>
      </c>
      <c r="C9" t="s">
        <v>104</v>
      </c>
      <c r="D9" t="s">
        <v>104</v>
      </c>
    </row>
    <row r="10" spans="1:4" x14ac:dyDescent="0.45">
      <c r="A10" t="s">
        <v>113</v>
      </c>
      <c r="B10" t="s">
        <v>106</v>
      </c>
      <c r="C10" t="s">
        <v>106</v>
      </c>
      <c r="D10" t="s">
        <v>106</v>
      </c>
    </row>
    <row r="11" spans="1:4" x14ac:dyDescent="0.45">
      <c r="A11" t="s">
        <v>114</v>
      </c>
      <c r="B11" t="s">
        <v>115</v>
      </c>
      <c r="C11" t="s">
        <v>115</v>
      </c>
      <c r="D11" t="s">
        <v>115</v>
      </c>
    </row>
    <row r="12" spans="1:4" x14ac:dyDescent="0.45">
      <c r="A12" t="s">
        <v>116</v>
      </c>
      <c r="B12" t="s">
        <v>106</v>
      </c>
      <c r="C12" t="s">
        <v>106</v>
      </c>
      <c r="D12" t="s">
        <v>106</v>
      </c>
    </row>
    <row r="13" spans="1:4" x14ac:dyDescent="0.45">
      <c r="A13" t="s">
        <v>117</v>
      </c>
      <c r="B13" t="s">
        <v>118</v>
      </c>
      <c r="C13" t="s">
        <v>118</v>
      </c>
      <c r="D13" t="s">
        <v>118</v>
      </c>
    </row>
    <row r="14" spans="1:4" x14ac:dyDescent="0.45">
      <c r="A14" t="s">
        <v>119</v>
      </c>
      <c r="B14" t="s">
        <v>120</v>
      </c>
      <c r="C14" t="s">
        <v>120</v>
      </c>
      <c r="D14" t="s">
        <v>120</v>
      </c>
    </row>
    <row r="15" spans="1:4" x14ac:dyDescent="0.45">
      <c r="A15" t="s">
        <v>121</v>
      </c>
      <c r="B15" t="s">
        <v>118</v>
      </c>
      <c r="C15" t="s">
        <v>118</v>
      </c>
      <c r="D15" t="s">
        <v>118</v>
      </c>
    </row>
    <row r="16" spans="1:4" x14ac:dyDescent="0.45">
      <c r="A16" t="s">
        <v>122</v>
      </c>
      <c r="B16" t="s">
        <v>109</v>
      </c>
      <c r="C16" t="s">
        <v>109</v>
      </c>
      <c r="D16" t="s">
        <v>109</v>
      </c>
    </row>
    <row r="17" spans="1:4" x14ac:dyDescent="0.45">
      <c r="A17" t="s">
        <v>123</v>
      </c>
      <c r="B17" t="s">
        <v>106</v>
      </c>
      <c r="C17" t="s">
        <v>106</v>
      </c>
      <c r="D17" t="s">
        <v>106</v>
      </c>
    </row>
    <row r="18" spans="1:4" x14ac:dyDescent="0.45">
      <c r="A18" t="s">
        <v>124</v>
      </c>
      <c r="B18" t="s">
        <v>106</v>
      </c>
      <c r="C18" t="s">
        <v>106</v>
      </c>
      <c r="D18" t="s">
        <v>106</v>
      </c>
    </row>
    <row r="19" spans="1:4" x14ac:dyDescent="0.45">
      <c r="A19" t="s">
        <v>125</v>
      </c>
      <c r="B19" t="s">
        <v>120</v>
      </c>
      <c r="C19" t="s">
        <v>120</v>
      </c>
      <c r="D19" t="s">
        <v>120</v>
      </c>
    </row>
    <row r="20" spans="1:4" x14ac:dyDescent="0.45">
      <c r="A20" t="s">
        <v>126</v>
      </c>
      <c r="B20" t="s">
        <v>106</v>
      </c>
      <c r="C20" t="s">
        <v>106</v>
      </c>
      <c r="D20" t="s">
        <v>106</v>
      </c>
    </row>
    <row r="21" spans="1:4" x14ac:dyDescent="0.45">
      <c r="A21" t="s">
        <v>127</v>
      </c>
      <c r="B21" t="s">
        <v>120</v>
      </c>
      <c r="C21" t="s">
        <v>120</v>
      </c>
      <c r="D21" t="s">
        <v>120</v>
      </c>
    </row>
    <row r="22" spans="1:4" x14ac:dyDescent="0.45">
      <c r="A22" t="s">
        <v>128</v>
      </c>
      <c r="B22" t="s">
        <v>106</v>
      </c>
      <c r="C22" t="s">
        <v>106</v>
      </c>
      <c r="D22" t="s">
        <v>106</v>
      </c>
    </row>
    <row r="23" spans="1:4" x14ac:dyDescent="0.45">
      <c r="A23" t="s">
        <v>129</v>
      </c>
      <c r="B23" t="s">
        <v>130</v>
      </c>
      <c r="C23" t="s">
        <v>130</v>
      </c>
      <c r="D23" t="s">
        <v>130</v>
      </c>
    </row>
    <row r="24" spans="1:4" x14ac:dyDescent="0.45">
      <c r="A24" t="s">
        <v>131</v>
      </c>
      <c r="B24" t="s">
        <v>109</v>
      </c>
      <c r="C24" t="s">
        <v>109</v>
      </c>
      <c r="D24" t="s">
        <v>109</v>
      </c>
    </row>
    <row r="25" spans="1:4" x14ac:dyDescent="0.45">
      <c r="A25" t="s">
        <v>132</v>
      </c>
      <c r="B25" t="s">
        <v>109</v>
      </c>
      <c r="C25" t="s">
        <v>109</v>
      </c>
      <c r="D25" t="s">
        <v>109</v>
      </c>
    </row>
    <row r="26" spans="1:4" x14ac:dyDescent="0.45">
      <c r="A26" t="s">
        <v>133</v>
      </c>
      <c r="B26" t="s">
        <v>106</v>
      </c>
      <c r="C26" t="s">
        <v>106</v>
      </c>
      <c r="D26" t="s">
        <v>106</v>
      </c>
    </row>
    <row r="27" spans="1:4" x14ac:dyDescent="0.45">
      <c r="A27" t="s">
        <v>134</v>
      </c>
      <c r="B27" t="s">
        <v>120</v>
      </c>
      <c r="C27" t="s">
        <v>120</v>
      </c>
      <c r="D27" t="s">
        <v>120</v>
      </c>
    </row>
    <row r="28" spans="1:4" x14ac:dyDescent="0.45">
      <c r="A28" t="s">
        <v>135</v>
      </c>
      <c r="B28" t="s">
        <v>106</v>
      </c>
      <c r="C28" t="s">
        <v>106</v>
      </c>
      <c r="D28" t="s">
        <v>106</v>
      </c>
    </row>
    <row r="29" spans="1:4" x14ac:dyDescent="0.45">
      <c r="A29" t="s">
        <v>136</v>
      </c>
      <c r="B29" t="s">
        <v>109</v>
      </c>
      <c r="C29" t="s">
        <v>109</v>
      </c>
      <c r="D29" t="s">
        <v>109</v>
      </c>
    </row>
    <row r="30" spans="1:4" x14ac:dyDescent="0.45">
      <c r="A30" t="s">
        <v>137</v>
      </c>
      <c r="B30" t="s">
        <v>106</v>
      </c>
      <c r="C30" t="s">
        <v>106</v>
      </c>
      <c r="D30" t="s">
        <v>106</v>
      </c>
    </row>
    <row r="31" spans="1:4" x14ac:dyDescent="0.45">
      <c r="A31" t="s">
        <v>138</v>
      </c>
      <c r="B31" t="s">
        <v>106</v>
      </c>
      <c r="C31" t="s">
        <v>106</v>
      </c>
      <c r="D31" t="s">
        <v>106</v>
      </c>
    </row>
    <row r="32" spans="1:4" x14ac:dyDescent="0.45">
      <c r="A32" t="s">
        <v>139</v>
      </c>
      <c r="B32" t="s">
        <v>140</v>
      </c>
      <c r="C32" t="s">
        <v>140</v>
      </c>
      <c r="D32" t="s">
        <v>140</v>
      </c>
    </row>
    <row r="33" spans="1:4" x14ac:dyDescent="0.45">
      <c r="A33" t="s">
        <v>141</v>
      </c>
      <c r="B33" t="s">
        <v>106</v>
      </c>
      <c r="C33" t="s">
        <v>106</v>
      </c>
      <c r="D33" t="s">
        <v>106</v>
      </c>
    </row>
    <row r="34" spans="1:4" x14ac:dyDescent="0.45">
      <c r="A34" t="s">
        <v>142</v>
      </c>
      <c r="B34" t="s">
        <v>106</v>
      </c>
      <c r="C34" t="s">
        <v>106</v>
      </c>
      <c r="D34" t="s">
        <v>106</v>
      </c>
    </row>
    <row r="35" spans="1:4" x14ac:dyDescent="0.45">
      <c r="A35" t="s">
        <v>143</v>
      </c>
      <c r="B35" t="s">
        <v>140</v>
      </c>
      <c r="C35" t="s">
        <v>140</v>
      </c>
      <c r="D35" t="s">
        <v>140</v>
      </c>
    </row>
    <row r="36" spans="1:4" x14ac:dyDescent="0.45">
      <c r="A36" t="s">
        <v>144</v>
      </c>
      <c r="B36" t="s">
        <v>140</v>
      </c>
      <c r="C36" t="s">
        <v>140</v>
      </c>
      <c r="D36" t="s">
        <v>140</v>
      </c>
    </row>
    <row r="37" spans="1:4" x14ac:dyDescent="0.45">
      <c r="A37" t="s">
        <v>145</v>
      </c>
      <c r="B37" t="s">
        <v>106</v>
      </c>
      <c r="C37" t="s">
        <v>106</v>
      </c>
      <c r="D37" t="s">
        <v>106</v>
      </c>
    </row>
    <row r="38" spans="1:4" x14ac:dyDescent="0.45">
      <c r="A38" t="s">
        <v>146</v>
      </c>
      <c r="B38" t="s">
        <v>106</v>
      </c>
      <c r="C38" t="s">
        <v>106</v>
      </c>
      <c r="D38" t="s">
        <v>106</v>
      </c>
    </row>
    <row r="39" spans="1:4" x14ac:dyDescent="0.45">
      <c r="A39" t="s">
        <v>147</v>
      </c>
      <c r="B39" t="s">
        <v>140</v>
      </c>
      <c r="C39" t="s">
        <v>140</v>
      </c>
      <c r="D39" t="s">
        <v>140</v>
      </c>
    </row>
    <row r="40" spans="1:4" x14ac:dyDescent="0.45">
      <c r="A40" t="s">
        <v>148</v>
      </c>
      <c r="B40" t="s">
        <v>106</v>
      </c>
      <c r="C40" t="s">
        <v>106</v>
      </c>
      <c r="D40" t="s">
        <v>106</v>
      </c>
    </row>
    <row r="41" spans="1:4" x14ac:dyDescent="0.45">
      <c r="A41" t="s">
        <v>149</v>
      </c>
      <c r="B41" t="s">
        <v>106</v>
      </c>
      <c r="C41" t="s">
        <v>106</v>
      </c>
      <c r="D41" t="s">
        <v>106</v>
      </c>
    </row>
    <row r="42" spans="1:4" x14ac:dyDescent="0.45">
      <c r="A42" t="s">
        <v>150</v>
      </c>
      <c r="B42" t="s">
        <v>151</v>
      </c>
      <c r="C42" t="s">
        <v>151</v>
      </c>
      <c r="D42" t="s">
        <v>151</v>
      </c>
    </row>
    <row r="43" spans="1:4" x14ac:dyDescent="0.45">
      <c r="A43" t="s">
        <v>152</v>
      </c>
      <c r="B43" t="s">
        <v>140</v>
      </c>
      <c r="C43" t="s">
        <v>140</v>
      </c>
      <c r="D43" t="s">
        <v>140</v>
      </c>
    </row>
    <row r="44" spans="1:4" x14ac:dyDescent="0.45">
      <c r="A44" t="s">
        <v>153</v>
      </c>
      <c r="B44" t="s">
        <v>106</v>
      </c>
      <c r="C44" t="s">
        <v>106</v>
      </c>
      <c r="D44" t="s">
        <v>106</v>
      </c>
    </row>
    <row r="45" spans="1:4" x14ac:dyDescent="0.45">
      <c r="A45" t="s">
        <v>154</v>
      </c>
      <c r="B45" t="s">
        <v>106</v>
      </c>
      <c r="C45" t="s">
        <v>106</v>
      </c>
      <c r="D45" t="s">
        <v>106</v>
      </c>
    </row>
    <row r="46" spans="1:4" x14ac:dyDescent="0.45">
      <c r="A46" t="s">
        <v>155</v>
      </c>
      <c r="B46" t="s">
        <v>106</v>
      </c>
      <c r="C46" t="s">
        <v>106</v>
      </c>
      <c r="D46" t="s">
        <v>106</v>
      </c>
    </row>
    <row r="47" spans="1:4" x14ac:dyDescent="0.45">
      <c r="A47" t="s">
        <v>156</v>
      </c>
      <c r="B47" t="s">
        <v>106</v>
      </c>
      <c r="C47" t="s">
        <v>106</v>
      </c>
      <c r="D47" t="s">
        <v>106</v>
      </c>
    </row>
    <row r="48" spans="1:4" x14ac:dyDescent="0.45">
      <c r="A48" t="s">
        <v>157</v>
      </c>
      <c r="B48" t="s">
        <v>106</v>
      </c>
      <c r="C48" t="s">
        <v>106</v>
      </c>
      <c r="D48" t="s">
        <v>106</v>
      </c>
    </row>
    <row r="49" spans="1:4" x14ac:dyDescent="0.45">
      <c r="A49" t="s">
        <v>158</v>
      </c>
      <c r="B49" t="s">
        <v>140</v>
      </c>
      <c r="C49" t="s">
        <v>140</v>
      </c>
      <c r="D49" t="s">
        <v>140</v>
      </c>
    </row>
    <row r="50" spans="1:4" x14ac:dyDescent="0.45">
      <c r="A50" t="s">
        <v>159</v>
      </c>
      <c r="B50" t="s">
        <v>160</v>
      </c>
      <c r="C50" t="s">
        <v>160</v>
      </c>
      <c r="D50" t="s">
        <v>160</v>
      </c>
    </row>
    <row r="51" spans="1:4" x14ac:dyDescent="0.45">
      <c r="A51" t="s">
        <v>161</v>
      </c>
      <c r="B51" t="s">
        <v>162</v>
      </c>
      <c r="C51" t="s">
        <v>162</v>
      </c>
      <c r="D51" t="s">
        <v>162</v>
      </c>
    </row>
    <row r="52" spans="1:4" x14ac:dyDescent="0.45">
      <c r="A52" t="s">
        <v>163</v>
      </c>
      <c r="B52" t="s">
        <v>106</v>
      </c>
      <c r="C52" t="s">
        <v>106</v>
      </c>
      <c r="D52" t="s">
        <v>106</v>
      </c>
    </row>
    <row r="53" spans="1:4" x14ac:dyDescent="0.45">
      <c r="A53" t="s">
        <v>164</v>
      </c>
      <c r="B53" t="s">
        <v>140</v>
      </c>
      <c r="C53" t="s">
        <v>140</v>
      </c>
      <c r="D53" t="s">
        <v>140</v>
      </c>
    </row>
    <row r="54" spans="1:4" x14ac:dyDescent="0.45">
      <c r="A54" t="s">
        <v>165</v>
      </c>
      <c r="B54" t="s">
        <v>106</v>
      </c>
      <c r="C54" t="s">
        <v>106</v>
      </c>
      <c r="D54" t="s">
        <v>106</v>
      </c>
    </row>
    <row r="55" spans="1:4" x14ac:dyDescent="0.45">
      <c r="A55" t="s">
        <v>166</v>
      </c>
      <c r="B55" t="s">
        <v>106</v>
      </c>
      <c r="C55" t="s">
        <v>106</v>
      </c>
      <c r="D55" t="s">
        <v>106</v>
      </c>
    </row>
    <row r="56" spans="1:4" x14ac:dyDescent="0.45">
      <c r="A56" t="s">
        <v>39</v>
      </c>
      <c r="B56" t="s">
        <v>106</v>
      </c>
      <c r="C56" t="s">
        <v>106</v>
      </c>
      <c r="D56" t="s">
        <v>106</v>
      </c>
    </row>
    <row r="57" spans="1:4" x14ac:dyDescent="0.45">
      <c r="A57" t="s">
        <v>44</v>
      </c>
      <c r="B57" t="s">
        <v>167</v>
      </c>
      <c r="C57" t="s">
        <v>168</v>
      </c>
      <c r="D57" t="s">
        <v>167</v>
      </c>
    </row>
    <row r="58" spans="1:4" x14ac:dyDescent="0.45">
      <c r="A58" t="s">
        <v>33</v>
      </c>
      <c r="B58" t="s">
        <v>106</v>
      </c>
      <c r="C58" t="s">
        <v>106</v>
      </c>
      <c r="D58" t="s">
        <v>106</v>
      </c>
    </row>
    <row r="59" spans="1:4" x14ac:dyDescent="0.45">
      <c r="A59" t="s">
        <v>169</v>
      </c>
      <c r="B59" t="s">
        <v>170</v>
      </c>
      <c r="C59" t="s">
        <v>170</v>
      </c>
      <c r="D59" t="s">
        <v>170</v>
      </c>
    </row>
    <row r="60" spans="1:4" x14ac:dyDescent="0.45">
      <c r="A60" t="s">
        <v>171</v>
      </c>
      <c r="B60" t="s">
        <v>109</v>
      </c>
      <c r="C60" t="s">
        <v>109</v>
      </c>
      <c r="D60" t="s">
        <v>109</v>
      </c>
    </row>
    <row r="61" spans="1:4" x14ac:dyDescent="0.45">
      <c r="A61" t="s">
        <v>172</v>
      </c>
      <c r="B61" t="s">
        <v>106</v>
      </c>
      <c r="C61" t="s">
        <v>106</v>
      </c>
      <c r="D61" t="s">
        <v>106</v>
      </c>
    </row>
    <row r="62" spans="1:4" x14ac:dyDescent="0.45">
      <c r="A62" t="s">
        <v>173</v>
      </c>
      <c r="B62" t="s">
        <v>106</v>
      </c>
      <c r="C62" t="s">
        <v>106</v>
      </c>
      <c r="D62" t="s">
        <v>106</v>
      </c>
    </row>
    <row r="63" spans="1:4" x14ac:dyDescent="0.45">
      <c r="A63" t="s">
        <v>174</v>
      </c>
      <c r="B63" t="s">
        <v>106</v>
      </c>
      <c r="C63" t="s">
        <v>106</v>
      </c>
      <c r="D63" t="s">
        <v>106</v>
      </c>
    </row>
    <row r="64" spans="1:4" x14ac:dyDescent="0.45">
      <c r="A64" t="s">
        <v>35</v>
      </c>
      <c r="B64" t="s">
        <v>175</v>
      </c>
      <c r="C64" t="s">
        <v>175</v>
      </c>
      <c r="D64" t="s">
        <v>175</v>
      </c>
    </row>
    <row r="65" spans="1:4" x14ac:dyDescent="0.45">
      <c r="A65" t="s">
        <v>176</v>
      </c>
      <c r="B65" t="s">
        <v>106</v>
      </c>
      <c r="C65" t="s">
        <v>106</v>
      </c>
      <c r="D65" t="s">
        <v>106</v>
      </c>
    </row>
    <row r="66" spans="1:4" x14ac:dyDescent="0.45">
      <c r="A66" t="s">
        <v>37</v>
      </c>
      <c r="B66" t="s">
        <v>177</v>
      </c>
      <c r="C66" t="s">
        <v>177</v>
      </c>
      <c r="D66" t="s">
        <v>177</v>
      </c>
    </row>
    <row r="67" spans="1:4" x14ac:dyDescent="0.45">
      <c r="A67" t="s">
        <v>178</v>
      </c>
      <c r="B67" t="s">
        <v>106</v>
      </c>
      <c r="C67" t="s">
        <v>106</v>
      </c>
      <c r="D67" t="s">
        <v>106</v>
      </c>
    </row>
    <row r="68" spans="1:4" x14ac:dyDescent="0.45">
      <c r="A68" t="s">
        <v>179</v>
      </c>
      <c r="B68" t="s">
        <v>109</v>
      </c>
      <c r="C68" t="s">
        <v>109</v>
      </c>
      <c r="D68" t="s">
        <v>109</v>
      </c>
    </row>
    <row r="69" spans="1:4" x14ac:dyDescent="0.45">
      <c r="A69" t="s">
        <v>180</v>
      </c>
      <c r="B69" t="s">
        <v>106</v>
      </c>
      <c r="C69" t="s">
        <v>106</v>
      </c>
      <c r="D69" t="s">
        <v>106</v>
      </c>
    </row>
    <row r="70" spans="1:4" x14ac:dyDescent="0.45">
      <c r="A70" t="s">
        <v>181</v>
      </c>
      <c r="B70" t="s">
        <v>106</v>
      </c>
      <c r="C70" t="s">
        <v>106</v>
      </c>
      <c r="D70" t="s">
        <v>106</v>
      </c>
    </row>
    <row r="71" spans="1:4" x14ac:dyDescent="0.45">
      <c r="A71" t="s">
        <v>182</v>
      </c>
      <c r="B71" t="s">
        <v>106</v>
      </c>
      <c r="C71" t="s">
        <v>106</v>
      </c>
      <c r="D71" t="s">
        <v>106</v>
      </c>
    </row>
    <row r="72" spans="1:4" x14ac:dyDescent="0.45">
      <c r="A72" t="s">
        <v>183</v>
      </c>
      <c r="B72" t="s">
        <v>106</v>
      </c>
      <c r="C72" t="s">
        <v>106</v>
      </c>
      <c r="D72" t="s">
        <v>106</v>
      </c>
    </row>
    <row r="73" spans="1:4" x14ac:dyDescent="0.45">
      <c r="A73" t="s">
        <v>184</v>
      </c>
      <c r="B73" t="s">
        <v>120</v>
      </c>
      <c r="C73" t="s">
        <v>120</v>
      </c>
      <c r="D73" t="s">
        <v>120</v>
      </c>
    </row>
    <row r="74" spans="1:4" x14ac:dyDescent="0.45">
      <c r="A74" t="s">
        <v>185</v>
      </c>
      <c r="B74" t="s">
        <v>106</v>
      </c>
      <c r="C74" t="s">
        <v>106</v>
      </c>
      <c r="D74" t="s">
        <v>106</v>
      </c>
    </row>
    <row r="75" spans="1:4" x14ac:dyDescent="0.45">
      <c r="A75" t="s">
        <v>186</v>
      </c>
      <c r="B75" t="s">
        <v>106</v>
      </c>
      <c r="C75" t="s">
        <v>106</v>
      </c>
      <c r="D75" t="s">
        <v>106</v>
      </c>
    </row>
    <row r="76" spans="1:4" x14ac:dyDescent="0.45">
      <c r="A76" t="s">
        <v>187</v>
      </c>
      <c r="B76" t="s">
        <v>106</v>
      </c>
      <c r="C76" t="s">
        <v>106</v>
      </c>
      <c r="D76" t="s">
        <v>106</v>
      </c>
    </row>
    <row r="77" spans="1:4" x14ac:dyDescent="0.45">
      <c r="A77" t="s">
        <v>188</v>
      </c>
      <c r="B77" t="s">
        <v>110</v>
      </c>
      <c r="C77" t="s">
        <v>110</v>
      </c>
      <c r="D77" t="s">
        <v>110</v>
      </c>
    </row>
    <row r="78" spans="1:4" x14ac:dyDescent="0.45">
      <c r="A78" t="s">
        <v>189</v>
      </c>
      <c r="B78" t="s">
        <v>190</v>
      </c>
      <c r="C78" t="s">
        <v>190</v>
      </c>
      <c r="D78" t="s">
        <v>190</v>
      </c>
    </row>
    <row r="79" spans="1:4" x14ac:dyDescent="0.45">
      <c r="A79" t="s">
        <v>191</v>
      </c>
      <c r="B79" t="s">
        <v>106</v>
      </c>
      <c r="C79" t="s">
        <v>106</v>
      </c>
      <c r="D79" t="s">
        <v>106</v>
      </c>
    </row>
    <row r="80" spans="1:4" x14ac:dyDescent="0.45">
      <c r="A80" t="s">
        <v>192</v>
      </c>
      <c r="B80" t="s">
        <v>106</v>
      </c>
      <c r="C80" t="s">
        <v>106</v>
      </c>
      <c r="D80" t="s">
        <v>106</v>
      </c>
    </row>
    <row r="81" spans="1:4" x14ac:dyDescent="0.45">
      <c r="A81" t="s">
        <v>193</v>
      </c>
      <c r="B81" t="s">
        <v>106</v>
      </c>
      <c r="C81" t="s">
        <v>106</v>
      </c>
      <c r="D81" t="s">
        <v>106</v>
      </c>
    </row>
    <row r="82" spans="1:4" x14ac:dyDescent="0.45">
      <c r="A82" t="s">
        <v>194</v>
      </c>
      <c r="B82" t="s">
        <v>195</v>
      </c>
      <c r="C82" t="s">
        <v>195</v>
      </c>
      <c r="D82" t="s">
        <v>195</v>
      </c>
    </row>
    <row r="83" spans="1:4" x14ac:dyDescent="0.45">
      <c r="A83" t="s">
        <v>196</v>
      </c>
      <c r="B83" t="s">
        <v>106</v>
      </c>
      <c r="C83" t="s">
        <v>106</v>
      </c>
      <c r="D83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1A3C-AE03-4B5F-A2BC-E01890658F1B}">
  <dimension ref="A1:E39"/>
  <sheetViews>
    <sheetView workbookViewId="0">
      <selection activeCell="A5" sqref="A5"/>
    </sheetView>
  </sheetViews>
  <sheetFormatPr defaultRowHeight="14.25" x14ac:dyDescent="0.45"/>
  <cols>
    <col min="1" max="1" width="11.46484375" customWidth="1"/>
    <col min="2" max="2" width="11.73046875" customWidth="1"/>
    <col min="3" max="3" width="13" customWidth="1"/>
    <col min="4" max="4" width="16.265625" customWidth="1"/>
    <col min="5" max="5" width="37.265625" customWidth="1"/>
  </cols>
  <sheetData>
    <row r="1" spans="1:5" x14ac:dyDescent="0.45">
      <c r="A1" t="s">
        <v>0</v>
      </c>
      <c r="B1" t="s">
        <v>45</v>
      </c>
      <c r="C1" t="s">
        <v>46</v>
      </c>
      <c r="D1" t="s">
        <v>47</v>
      </c>
      <c r="E1" t="s">
        <v>99</v>
      </c>
    </row>
    <row r="2" spans="1:5" x14ac:dyDescent="0.45">
      <c r="A2" t="s">
        <v>25</v>
      </c>
      <c r="B2" s="1">
        <v>1.4744888888888888E-10</v>
      </c>
      <c r="C2" s="1">
        <v>1.9934814814814813E-10</v>
      </c>
      <c r="D2" s="1">
        <v>2.5726222222222223E-10</v>
      </c>
      <c r="E2" s="11" t="s">
        <v>96</v>
      </c>
    </row>
    <row r="3" spans="1:5" x14ac:dyDescent="0.45">
      <c r="A3" t="s">
        <v>26</v>
      </c>
      <c r="B3" s="1">
        <v>8.4999999999999994E-8</v>
      </c>
      <c r="C3" s="1">
        <v>3.9999999999999998E-7</v>
      </c>
      <c r="D3" s="1">
        <v>5.5000000000000003E-7</v>
      </c>
      <c r="E3" t="s">
        <v>98</v>
      </c>
    </row>
    <row r="4" spans="1:5" x14ac:dyDescent="0.45">
      <c r="A4" t="s">
        <v>3</v>
      </c>
      <c r="B4" s="1">
        <v>3.0000000000000001E-6</v>
      </c>
      <c r="C4" s="1">
        <v>5.0000000000000004E-6</v>
      </c>
      <c r="D4" s="1">
        <v>6.9999999999999999E-6</v>
      </c>
      <c r="E4" t="s">
        <v>92</v>
      </c>
    </row>
    <row r="5" spans="1:5" x14ac:dyDescent="0.45">
      <c r="A5" t="s">
        <v>4</v>
      </c>
      <c r="B5" s="1">
        <v>4.9999999999999998E-8</v>
      </c>
      <c r="C5" s="1">
        <v>1.2499999999999999E-7</v>
      </c>
      <c r="D5" s="1">
        <v>1.9999999999999999E-7</v>
      </c>
      <c r="E5" t="s">
        <v>93</v>
      </c>
    </row>
    <row r="6" spans="1:5" x14ac:dyDescent="0.45">
      <c r="A6" t="s">
        <v>5</v>
      </c>
      <c r="B6" s="1">
        <v>5.0000000000000003E-10</v>
      </c>
      <c r="C6" s="1">
        <v>2.5000000000000001E-9</v>
      </c>
      <c r="D6" s="1">
        <v>5.0000000000000001E-9</v>
      </c>
      <c r="E6" t="s">
        <v>93</v>
      </c>
    </row>
    <row r="7" spans="1:5" x14ac:dyDescent="0.45">
      <c r="A7" t="s">
        <v>6</v>
      </c>
      <c r="B7" s="1">
        <v>1E-10</v>
      </c>
      <c r="C7" s="1">
        <v>1E-10</v>
      </c>
      <c r="D7" s="1">
        <v>1E-10</v>
      </c>
      <c r="E7" t="s">
        <v>95</v>
      </c>
    </row>
    <row r="8" spans="1:5" x14ac:dyDescent="0.45">
      <c r="A8" t="s">
        <v>12</v>
      </c>
      <c r="B8" s="1">
        <v>0</v>
      </c>
      <c r="C8" s="1">
        <v>0</v>
      </c>
      <c r="D8" s="1">
        <v>0</v>
      </c>
      <c r="E8" t="s">
        <v>95</v>
      </c>
    </row>
    <row r="9" spans="1:5" x14ac:dyDescent="0.45">
      <c r="A9" t="s">
        <v>9</v>
      </c>
      <c r="B9" s="1">
        <v>1E-10</v>
      </c>
      <c r="C9" s="1">
        <v>1E-10</v>
      </c>
      <c r="D9" s="1">
        <v>1E-10</v>
      </c>
      <c r="E9" t="s">
        <v>95</v>
      </c>
    </row>
    <row r="10" spans="1:5" x14ac:dyDescent="0.45">
      <c r="A10" t="s">
        <v>10</v>
      </c>
      <c r="B10" s="1">
        <v>1E-10</v>
      </c>
      <c r="C10" s="1">
        <v>1E-10</v>
      </c>
      <c r="D10" s="1">
        <v>1E-10</v>
      </c>
      <c r="E10" t="s">
        <v>95</v>
      </c>
    </row>
    <row r="11" spans="1:5" x14ac:dyDescent="0.45">
      <c r="A11" t="s">
        <v>11</v>
      </c>
      <c r="B11" s="1">
        <v>1E-10</v>
      </c>
      <c r="C11" s="1">
        <v>1E-10</v>
      </c>
      <c r="D11" s="1">
        <v>1E-10</v>
      </c>
      <c r="E11" t="s">
        <v>95</v>
      </c>
    </row>
    <row r="12" spans="1:5" x14ac:dyDescent="0.45">
      <c r="A12" t="s">
        <v>13</v>
      </c>
      <c r="B12" s="1">
        <v>0</v>
      </c>
      <c r="C12" s="1">
        <v>0</v>
      </c>
      <c r="D12" s="1">
        <v>0</v>
      </c>
      <c r="E12" t="s">
        <v>93</v>
      </c>
    </row>
    <row r="13" spans="1:5" x14ac:dyDescent="0.45">
      <c r="A13" t="s">
        <v>14</v>
      </c>
      <c r="B13" s="1">
        <v>0</v>
      </c>
      <c r="C13" s="1">
        <v>0</v>
      </c>
      <c r="D13" s="1">
        <v>0</v>
      </c>
      <c r="E13" t="s">
        <v>93</v>
      </c>
    </row>
    <row r="14" spans="1:5" x14ac:dyDescent="0.45">
      <c r="A14" t="s">
        <v>15</v>
      </c>
      <c r="B14" s="1">
        <v>0</v>
      </c>
      <c r="C14" s="1">
        <v>0</v>
      </c>
      <c r="D14" s="1">
        <v>0</v>
      </c>
      <c r="E14" t="s">
        <v>93</v>
      </c>
    </row>
    <row r="15" spans="1:5" x14ac:dyDescent="0.45">
      <c r="A15" t="s">
        <v>7</v>
      </c>
      <c r="B15" s="1">
        <v>2.1292408163265306E-11</v>
      </c>
      <c r="C15" s="1">
        <v>2.8786938775510202E-11</v>
      </c>
      <c r="D15" s="1">
        <v>3.7150040816326529E-11</v>
      </c>
      <c r="E15" s="11" t="s">
        <v>96</v>
      </c>
    </row>
    <row r="16" spans="1:5" x14ac:dyDescent="0.45">
      <c r="A16" t="s">
        <v>8</v>
      </c>
      <c r="B16" s="1">
        <v>2.856161073825503E-10</v>
      </c>
      <c r="C16" s="1">
        <v>3.8614765100671136E-10</v>
      </c>
      <c r="D16" s="1">
        <v>4.9833020134228194E-10</v>
      </c>
      <c r="E16" s="11" t="s">
        <v>96</v>
      </c>
    </row>
    <row r="17" spans="1:5" x14ac:dyDescent="0.45">
      <c r="A17" t="s">
        <v>1</v>
      </c>
      <c r="B17" s="1">
        <v>2E-8</v>
      </c>
      <c r="C17" s="1">
        <v>3.2999999999999998E-8</v>
      </c>
      <c r="D17" s="1">
        <v>4.0000000000000001E-8</v>
      </c>
      <c r="E17" t="s">
        <v>89</v>
      </c>
    </row>
    <row r="18" spans="1:5" x14ac:dyDescent="0.45">
      <c r="A18" t="s">
        <v>29</v>
      </c>
      <c r="B18" s="1">
        <v>0</v>
      </c>
      <c r="C18" s="1">
        <v>0</v>
      </c>
      <c r="D18" s="1">
        <v>0</v>
      </c>
      <c r="E18" t="s">
        <v>95</v>
      </c>
    </row>
    <row r="19" spans="1:5" x14ac:dyDescent="0.45">
      <c r="A19" t="s">
        <v>30</v>
      </c>
      <c r="B19" s="1">
        <v>5.0000000000000002E-11</v>
      </c>
      <c r="C19" s="1">
        <v>1E-10</v>
      </c>
      <c r="D19" s="1">
        <v>2.0000000000000001E-10</v>
      </c>
      <c r="E19" t="s">
        <v>95</v>
      </c>
    </row>
    <row r="20" spans="1:5" x14ac:dyDescent="0.45">
      <c r="A20" t="s">
        <v>31</v>
      </c>
      <c r="B20" s="1">
        <v>0</v>
      </c>
      <c r="C20" s="1">
        <v>0</v>
      </c>
      <c r="D20" s="1">
        <v>0</v>
      </c>
      <c r="E20" t="s">
        <v>95</v>
      </c>
    </row>
    <row r="21" spans="1:5" x14ac:dyDescent="0.45">
      <c r="A21" t="s">
        <v>32</v>
      </c>
      <c r="B21" s="1">
        <v>1.875E-10</v>
      </c>
      <c r="C21" s="1">
        <v>3.75E-10</v>
      </c>
      <c r="D21" s="1">
        <v>7.5E-10</v>
      </c>
      <c r="E21" t="s">
        <v>95</v>
      </c>
    </row>
    <row r="22" spans="1:5" x14ac:dyDescent="0.45">
      <c r="A22" t="s">
        <v>33</v>
      </c>
      <c r="B22" s="1">
        <v>0</v>
      </c>
      <c r="C22" s="1">
        <v>0</v>
      </c>
      <c r="D22" s="1">
        <v>0</v>
      </c>
      <c r="E22" t="s">
        <v>95</v>
      </c>
    </row>
    <row r="23" spans="1:5" x14ac:dyDescent="0.45">
      <c r="A23" t="s">
        <v>34</v>
      </c>
      <c r="B23" s="1">
        <v>1.5E-10</v>
      </c>
      <c r="C23" s="1">
        <v>3E-10</v>
      </c>
      <c r="D23" s="1">
        <v>6E-10</v>
      </c>
      <c r="E23" t="s">
        <v>95</v>
      </c>
    </row>
    <row r="24" spans="1:5" x14ac:dyDescent="0.45">
      <c r="A24" t="s">
        <v>35</v>
      </c>
      <c r="B24" s="1">
        <v>1.125E-10</v>
      </c>
      <c r="C24" s="1">
        <v>2.25E-10</v>
      </c>
      <c r="D24" s="1">
        <v>4.5E-10</v>
      </c>
      <c r="E24" t="s">
        <v>95</v>
      </c>
    </row>
    <row r="25" spans="1:5" x14ac:dyDescent="0.45">
      <c r="A25" t="s">
        <v>36</v>
      </c>
      <c r="B25" s="1">
        <v>0</v>
      </c>
      <c r="C25" s="1">
        <v>0</v>
      </c>
      <c r="D25" s="1">
        <v>0</v>
      </c>
      <c r="E25" t="s">
        <v>95</v>
      </c>
    </row>
    <row r="26" spans="1:5" x14ac:dyDescent="0.45">
      <c r="A26" t="s">
        <v>37</v>
      </c>
      <c r="B26" s="1">
        <v>3.5000000000000002E-11</v>
      </c>
      <c r="C26" s="1">
        <v>7.0000000000000004E-11</v>
      </c>
      <c r="D26" s="1">
        <v>1.4000000000000001E-10</v>
      </c>
      <c r="E26" t="s">
        <v>95</v>
      </c>
    </row>
    <row r="27" spans="1:5" x14ac:dyDescent="0.45">
      <c r="A27" t="s">
        <v>38</v>
      </c>
      <c r="B27" s="1">
        <v>0</v>
      </c>
      <c r="C27" s="1">
        <v>0</v>
      </c>
      <c r="D27" s="1">
        <v>0</v>
      </c>
      <c r="E27" t="s">
        <v>95</v>
      </c>
    </row>
    <row r="28" spans="1:5" x14ac:dyDescent="0.45">
      <c r="A28" t="s">
        <v>24</v>
      </c>
      <c r="B28" s="14" t="s">
        <v>101</v>
      </c>
      <c r="C28" s="14"/>
      <c r="D28" s="1" t="s">
        <v>102</v>
      </c>
      <c r="E28" s="11" t="s">
        <v>100</v>
      </c>
    </row>
    <row r="29" spans="1:5" x14ac:dyDescent="0.45">
      <c r="A29" t="s">
        <v>2</v>
      </c>
      <c r="B29" s="14" t="s">
        <v>90</v>
      </c>
      <c r="C29" s="14"/>
      <c r="D29" s="1" t="s">
        <v>91</v>
      </c>
      <c r="E29" t="s">
        <v>100</v>
      </c>
    </row>
    <row r="30" spans="1:5" x14ac:dyDescent="0.45">
      <c r="A30" t="s">
        <v>16</v>
      </c>
      <c r="B30" s="1">
        <v>0</v>
      </c>
      <c r="C30" s="1">
        <v>0</v>
      </c>
      <c r="D30" s="1">
        <v>0</v>
      </c>
      <c r="E30" t="s">
        <v>83</v>
      </c>
    </row>
    <row r="31" spans="1:5" x14ac:dyDescent="0.45">
      <c r="A31" t="s">
        <v>17</v>
      </c>
      <c r="B31" s="1">
        <v>0</v>
      </c>
      <c r="C31" s="1">
        <v>0</v>
      </c>
      <c r="D31" s="1">
        <v>0</v>
      </c>
      <c r="E31" t="s">
        <v>83</v>
      </c>
    </row>
    <row r="32" spans="1:5" x14ac:dyDescent="0.45">
      <c r="A32" t="s">
        <v>18</v>
      </c>
      <c r="B32" s="1">
        <v>0</v>
      </c>
      <c r="C32" s="1">
        <v>0</v>
      </c>
      <c r="D32" s="1">
        <v>0</v>
      </c>
      <c r="E32" t="s">
        <v>83</v>
      </c>
    </row>
    <row r="33" spans="1:5" x14ac:dyDescent="0.45">
      <c r="A33" t="s">
        <v>19</v>
      </c>
      <c r="B33" s="1">
        <v>0</v>
      </c>
      <c r="C33" s="1">
        <v>0</v>
      </c>
      <c r="D33" s="1">
        <v>0</v>
      </c>
      <c r="E33" t="s">
        <v>83</v>
      </c>
    </row>
    <row r="34" spans="1:5" x14ac:dyDescent="0.45">
      <c r="A34" t="s">
        <v>20</v>
      </c>
      <c r="B34" s="1">
        <v>0</v>
      </c>
      <c r="C34" s="1">
        <v>0</v>
      </c>
      <c r="D34" s="1">
        <v>0</v>
      </c>
      <c r="E34" t="s">
        <v>83</v>
      </c>
    </row>
    <row r="35" spans="1:5" x14ac:dyDescent="0.45">
      <c r="A35" t="s">
        <v>21</v>
      </c>
      <c r="B35" s="1">
        <v>0</v>
      </c>
      <c r="C35" s="1">
        <v>0</v>
      </c>
      <c r="D35" s="1">
        <v>0</v>
      </c>
      <c r="E35" t="s">
        <v>83</v>
      </c>
    </row>
    <row r="36" spans="1:5" x14ac:dyDescent="0.45">
      <c r="A36" t="s">
        <v>22</v>
      </c>
      <c r="B36" s="1">
        <v>0</v>
      </c>
      <c r="C36" s="1">
        <v>0</v>
      </c>
      <c r="D36" s="1">
        <v>0</v>
      </c>
      <c r="E36" t="s">
        <v>83</v>
      </c>
    </row>
    <row r="37" spans="1:5" x14ac:dyDescent="0.45">
      <c r="A37" t="s">
        <v>23</v>
      </c>
      <c r="B37" s="1">
        <v>0</v>
      </c>
      <c r="C37" s="1">
        <v>0</v>
      </c>
      <c r="D37" s="1">
        <v>0</v>
      </c>
      <c r="E37" t="s">
        <v>83</v>
      </c>
    </row>
    <row r="38" spans="1:5" x14ac:dyDescent="0.45">
      <c r="A38" t="s">
        <v>27</v>
      </c>
      <c r="B38" s="1">
        <v>0</v>
      </c>
      <c r="C38" s="1">
        <v>0</v>
      </c>
      <c r="D38" s="1">
        <v>0</v>
      </c>
      <c r="E38" t="s">
        <v>83</v>
      </c>
    </row>
    <row r="39" spans="1:5" x14ac:dyDescent="0.45">
      <c r="A39" t="s">
        <v>28</v>
      </c>
      <c r="B39" s="1">
        <v>0</v>
      </c>
      <c r="C39" s="1">
        <v>0</v>
      </c>
      <c r="D39" s="1">
        <v>0</v>
      </c>
      <c r="E39" t="s">
        <v>83</v>
      </c>
    </row>
  </sheetData>
  <mergeCells count="2">
    <mergeCell ref="B28:C28"/>
    <mergeCell ref="B29:C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2D09-CED8-4C0F-81AC-B395E60C1831}">
  <dimension ref="A1:E81"/>
  <sheetViews>
    <sheetView zoomScale="85" zoomScaleNormal="85" workbookViewId="0">
      <selection activeCell="D13" sqref="D13"/>
    </sheetView>
  </sheetViews>
  <sheetFormatPr defaultRowHeight="14.25" x14ac:dyDescent="0.45"/>
  <cols>
    <col min="1" max="1" width="19.9296875" customWidth="1"/>
    <col min="4" max="4" width="34.796875" customWidth="1"/>
    <col min="5" max="5" width="68.06640625" customWidth="1"/>
  </cols>
  <sheetData>
    <row r="1" spans="1:5" x14ac:dyDescent="0.45">
      <c r="A1" s="15" t="s">
        <v>0</v>
      </c>
      <c r="B1" s="15" t="s">
        <v>45</v>
      </c>
      <c r="C1" s="15" t="s">
        <v>46</v>
      </c>
      <c r="D1" s="15" t="s">
        <v>47</v>
      </c>
      <c r="E1" s="15" t="s">
        <v>48</v>
      </c>
    </row>
    <row r="2" spans="1:5" x14ac:dyDescent="0.45">
      <c r="A2" s="15"/>
      <c r="B2" s="15"/>
      <c r="C2" s="15"/>
      <c r="D2" s="15"/>
      <c r="E2" s="15"/>
    </row>
    <row r="3" spans="1:5" ht="29" customHeight="1" x14ac:dyDescent="0.45">
      <c r="A3" s="15" t="s">
        <v>1</v>
      </c>
      <c r="B3" s="17">
        <v>2E-8</v>
      </c>
      <c r="C3" s="17">
        <v>3.2999999999999998E-8</v>
      </c>
      <c r="D3" s="17">
        <v>4.0000000000000001E-8</v>
      </c>
      <c r="E3" s="15" t="s">
        <v>89</v>
      </c>
    </row>
    <row r="4" spans="1:5" x14ac:dyDescent="0.45">
      <c r="A4" s="15"/>
      <c r="B4" s="17"/>
      <c r="C4" s="17"/>
      <c r="D4" s="17"/>
      <c r="E4" s="15"/>
    </row>
    <row r="5" spans="1:5" ht="14.55" customHeight="1" x14ac:dyDescent="0.45">
      <c r="A5" s="15" t="s">
        <v>2</v>
      </c>
      <c r="B5" s="12" t="s">
        <v>90</v>
      </c>
      <c r="C5" s="12"/>
      <c r="D5" s="15" t="s">
        <v>91</v>
      </c>
      <c r="E5" s="15" t="s">
        <v>83</v>
      </c>
    </row>
    <row r="6" spans="1:5" x14ac:dyDescent="0.45">
      <c r="A6" s="15"/>
      <c r="B6" s="12"/>
      <c r="C6" s="12"/>
      <c r="D6" s="15"/>
      <c r="E6" s="15"/>
    </row>
    <row r="7" spans="1:5" ht="43.05" customHeight="1" x14ac:dyDescent="0.45">
      <c r="A7" s="15" t="s">
        <v>3</v>
      </c>
      <c r="B7" s="17">
        <v>3.0000000000000001E-6</v>
      </c>
      <c r="C7" s="17">
        <v>5.0000000000000004E-6</v>
      </c>
      <c r="D7" s="17">
        <v>6.9999999999999999E-6</v>
      </c>
      <c r="E7" s="15" t="s">
        <v>92</v>
      </c>
    </row>
    <row r="8" spans="1:5" x14ac:dyDescent="0.45">
      <c r="A8" s="15"/>
      <c r="B8" s="17"/>
      <c r="C8" s="17"/>
      <c r="D8" s="17"/>
      <c r="E8" s="15"/>
    </row>
    <row r="9" spans="1:5" ht="29" customHeight="1" x14ac:dyDescent="0.45">
      <c r="A9" s="15" t="s">
        <v>4</v>
      </c>
      <c r="B9" s="17">
        <v>4.9999999999999998E-8</v>
      </c>
      <c r="C9" s="17">
        <v>1.2499999999999999E-7</v>
      </c>
      <c r="D9" s="17">
        <v>1.9999999999999999E-7</v>
      </c>
      <c r="E9" s="15" t="s">
        <v>93</v>
      </c>
    </row>
    <row r="10" spans="1:5" x14ac:dyDescent="0.45">
      <c r="A10" s="15"/>
      <c r="B10" s="17"/>
      <c r="C10" s="17"/>
      <c r="D10" s="17"/>
      <c r="E10" s="15"/>
    </row>
    <row r="11" spans="1:5" ht="29" customHeight="1" x14ac:dyDescent="0.45">
      <c r="A11" s="15" t="s">
        <v>5</v>
      </c>
      <c r="B11" s="17">
        <v>5.0000000000000003E-10</v>
      </c>
      <c r="C11" s="17">
        <v>2.5000000000000001E-9</v>
      </c>
      <c r="D11" s="17">
        <v>3E-9</v>
      </c>
      <c r="E11" s="15" t="s">
        <v>93</v>
      </c>
    </row>
    <row r="12" spans="1:5" x14ac:dyDescent="0.45">
      <c r="A12" s="15"/>
      <c r="B12" s="17"/>
      <c r="C12" s="17"/>
      <c r="D12" s="17"/>
      <c r="E12" s="15"/>
    </row>
    <row r="13" spans="1:5" ht="41" customHeight="1" x14ac:dyDescent="0.45">
      <c r="A13" s="8" t="s">
        <v>6</v>
      </c>
      <c r="B13" s="10">
        <v>1E-10</v>
      </c>
      <c r="C13" s="10">
        <v>1E-10</v>
      </c>
      <c r="D13" s="10">
        <v>1E-10</v>
      </c>
      <c r="E13" s="8" t="s">
        <v>94</v>
      </c>
    </row>
    <row r="14" spans="1:5" ht="29" customHeight="1" x14ac:dyDescent="0.45">
      <c r="A14" s="8" t="s">
        <v>9</v>
      </c>
      <c r="B14" s="10">
        <v>1E-10</v>
      </c>
      <c r="C14" s="10">
        <v>1E-10</v>
      </c>
      <c r="D14" s="10">
        <v>1E-10</v>
      </c>
      <c r="E14" s="8" t="s">
        <v>95</v>
      </c>
    </row>
    <row r="15" spans="1:5" ht="29" customHeight="1" x14ac:dyDescent="0.45">
      <c r="A15" s="8" t="s">
        <v>10</v>
      </c>
      <c r="B15" s="10">
        <v>1E-10</v>
      </c>
      <c r="C15" s="10">
        <v>1E-10</v>
      </c>
      <c r="D15" s="10">
        <v>1E-10</v>
      </c>
      <c r="E15" s="8" t="s">
        <v>95</v>
      </c>
    </row>
    <row r="16" spans="1:5" ht="29" customHeight="1" x14ac:dyDescent="0.45">
      <c r="A16" s="8" t="s">
        <v>11</v>
      </c>
      <c r="B16" s="10">
        <v>1E-10</v>
      </c>
      <c r="C16" s="10">
        <v>1E-10</v>
      </c>
      <c r="D16" s="10">
        <v>1E-10</v>
      </c>
      <c r="E16" s="8" t="s">
        <v>95</v>
      </c>
    </row>
    <row r="17" spans="1:5" x14ac:dyDescent="0.45">
      <c r="A17" s="8" t="s">
        <v>12</v>
      </c>
      <c r="B17" s="8">
        <v>0</v>
      </c>
      <c r="C17" s="8">
        <v>0</v>
      </c>
      <c r="D17" s="8">
        <v>0</v>
      </c>
      <c r="E17" s="9"/>
    </row>
    <row r="18" spans="1:5" x14ac:dyDescent="0.45">
      <c r="A18" s="8" t="s">
        <v>13</v>
      </c>
      <c r="B18" s="8">
        <v>0</v>
      </c>
      <c r="C18" s="8">
        <v>0</v>
      </c>
      <c r="D18" s="8">
        <v>0</v>
      </c>
      <c r="E18" s="9"/>
    </row>
    <row r="19" spans="1:5" x14ac:dyDescent="0.45">
      <c r="A19" s="8" t="s">
        <v>14</v>
      </c>
      <c r="B19" s="8">
        <v>0</v>
      </c>
      <c r="C19" s="8">
        <v>0</v>
      </c>
      <c r="D19" s="8">
        <v>0</v>
      </c>
      <c r="E19" s="9"/>
    </row>
    <row r="20" spans="1:5" x14ac:dyDescent="0.45">
      <c r="A20" s="8" t="s">
        <v>15</v>
      </c>
      <c r="B20" s="8">
        <v>0</v>
      </c>
      <c r="C20" s="8">
        <v>0</v>
      </c>
      <c r="D20" s="8">
        <v>0</v>
      </c>
      <c r="E20" s="9"/>
    </row>
    <row r="21" spans="1:5" x14ac:dyDescent="0.45">
      <c r="A21" s="8" t="s">
        <v>16</v>
      </c>
      <c r="B21" s="8">
        <v>0</v>
      </c>
      <c r="C21" s="8">
        <v>0</v>
      </c>
      <c r="D21" s="8">
        <v>0</v>
      </c>
      <c r="E21" s="9"/>
    </row>
    <row r="22" spans="1:5" x14ac:dyDescent="0.45">
      <c r="A22" s="15" t="s">
        <v>17</v>
      </c>
      <c r="B22" s="15">
        <v>0</v>
      </c>
      <c r="C22" s="15">
        <v>0</v>
      </c>
      <c r="D22" s="15">
        <v>0</v>
      </c>
      <c r="E22" s="16"/>
    </row>
    <row r="23" spans="1:5" x14ac:dyDescent="0.45">
      <c r="A23" s="15"/>
      <c r="B23" s="15"/>
      <c r="C23" s="15"/>
      <c r="D23" s="15"/>
      <c r="E23" s="16"/>
    </row>
    <row r="24" spans="1:5" x14ac:dyDescent="0.45">
      <c r="A24" s="15" t="s">
        <v>18</v>
      </c>
      <c r="B24" s="15">
        <v>0</v>
      </c>
      <c r="C24" s="15">
        <v>0</v>
      </c>
      <c r="D24" s="15">
        <v>0</v>
      </c>
      <c r="E24" s="16"/>
    </row>
    <row r="25" spans="1:5" x14ac:dyDescent="0.45">
      <c r="A25" s="15"/>
      <c r="B25" s="15"/>
      <c r="C25" s="15"/>
      <c r="D25" s="15"/>
      <c r="E25" s="16"/>
    </row>
    <row r="26" spans="1:5" x14ac:dyDescent="0.45">
      <c r="A26" s="15" t="s">
        <v>19</v>
      </c>
      <c r="B26" s="15">
        <v>0</v>
      </c>
      <c r="C26" s="15">
        <v>0</v>
      </c>
      <c r="D26" s="15">
        <v>0</v>
      </c>
      <c r="E26" s="16"/>
    </row>
    <row r="27" spans="1:5" x14ac:dyDescent="0.45">
      <c r="A27" s="15"/>
      <c r="B27" s="15"/>
      <c r="C27" s="15"/>
      <c r="D27" s="15"/>
      <c r="E27" s="16"/>
    </row>
    <row r="28" spans="1:5" x14ac:dyDescent="0.45">
      <c r="A28" s="15" t="s">
        <v>20</v>
      </c>
      <c r="B28" s="15">
        <v>0</v>
      </c>
      <c r="C28" s="15">
        <v>0</v>
      </c>
      <c r="D28" s="15">
        <v>0</v>
      </c>
      <c r="E28" s="16"/>
    </row>
    <row r="29" spans="1:5" x14ac:dyDescent="0.45">
      <c r="A29" s="15"/>
      <c r="B29" s="15"/>
      <c r="C29" s="15"/>
      <c r="D29" s="15"/>
      <c r="E29" s="16"/>
    </row>
    <row r="30" spans="1:5" x14ac:dyDescent="0.45">
      <c r="A30" s="15" t="s">
        <v>21</v>
      </c>
      <c r="B30" s="15">
        <v>0</v>
      </c>
      <c r="C30" s="15">
        <v>0</v>
      </c>
      <c r="D30" s="15">
        <v>0</v>
      </c>
      <c r="E30" s="16"/>
    </row>
    <row r="31" spans="1:5" x14ac:dyDescent="0.45">
      <c r="A31" s="15"/>
      <c r="B31" s="15"/>
      <c r="C31" s="15"/>
      <c r="D31" s="15"/>
      <c r="E31" s="16"/>
    </row>
    <row r="32" spans="1:5" x14ac:dyDescent="0.45">
      <c r="A32" s="15" t="s">
        <v>22</v>
      </c>
      <c r="B32" s="15">
        <v>0</v>
      </c>
      <c r="C32" s="15">
        <v>0</v>
      </c>
      <c r="D32" s="15">
        <v>0</v>
      </c>
      <c r="E32" s="16"/>
    </row>
    <row r="33" spans="1:5" x14ac:dyDescent="0.45">
      <c r="A33" s="15"/>
      <c r="B33" s="15"/>
      <c r="C33" s="15"/>
      <c r="D33" s="15"/>
      <c r="E33" s="16"/>
    </row>
    <row r="34" spans="1:5" x14ac:dyDescent="0.45">
      <c r="A34" s="15" t="s">
        <v>23</v>
      </c>
      <c r="B34" s="15">
        <v>0</v>
      </c>
      <c r="C34" s="15">
        <v>0</v>
      </c>
      <c r="D34" s="15">
        <v>0</v>
      </c>
      <c r="E34" s="16"/>
    </row>
    <row r="35" spans="1:5" x14ac:dyDescent="0.45">
      <c r="A35" s="15"/>
      <c r="B35" s="15"/>
      <c r="C35" s="15"/>
      <c r="D35" s="15"/>
      <c r="E35" s="16"/>
    </row>
    <row r="36" spans="1:5" x14ac:dyDescent="0.45">
      <c r="A36" s="15" t="s">
        <v>7</v>
      </c>
      <c r="B36" s="17">
        <v>2.1292400000000001E-11</v>
      </c>
      <c r="C36" s="17">
        <v>2.8786899999999999E-11</v>
      </c>
      <c r="D36" s="17">
        <v>3.7150000000000002E-11</v>
      </c>
      <c r="E36" s="15" t="s">
        <v>96</v>
      </c>
    </row>
    <row r="37" spans="1:5" x14ac:dyDescent="0.45">
      <c r="A37" s="15"/>
      <c r="B37" s="17"/>
      <c r="C37" s="17"/>
      <c r="D37" s="17"/>
      <c r="E37" s="15"/>
    </row>
    <row r="38" spans="1:5" x14ac:dyDescent="0.45">
      <c r="A38" s="15" t="s">
        <v>8</v>
      </c>
      <c r="B38" s="17">
        <v>2.8561600000000001E-10</v>
      </c>
      <c r="C38" s="17">
        <v>3.8614799999999999E-10</v>
      </c>
      <c r="D38" s="17">
        <v>4.9832999999999997E-10</v>
      </c>
      <c r="E38" s="15" t="s">
        <v>96</v>
      </c>
    </row>
    <row r="39" spans="1:5" x14ac:dyDescent="0.45">
      <c r="A39" s="15"/>
      <c r="B39" s="17"/>
      <c r="C39" s="17"/>
      <c r="D39" s="17"/>
      <c r="E39" s="15"/>
    </row>
    <row r="40" spans="1:5" x14ac:dyDescent="0.45">
      <c r="A40" s="15" t="s">
        <v>25</v>
      </c>
      <c r="B40" s="17">
        <v>1.4744900000000001E-10</v>
      </c>
      <c r="C40" s="17">
        <v>1.99348E-10</v>
      </c>
      <c r="D40" s="17">
        <v>2.5726200000000002E-10</v>
      </c>
      <c r="E40" s="15" t="s">
        <v>96</v>
      </c>
    </row>
    <row r="41" spans="1:5" x14ac:dyDescent="0.45">
      <c r="A41" s="15"/>
      <c r="B41" s="17"/>
      <c r="C41" s="17"/>
      <c r="D41" s="17"/>
      <c r="E41" s="15"/>
    </row>
    <row r="42" spans="1:5" x14ac:dyDescent="0.45">
      <c r="A42" s="15" t="s">
        <v>24</v>
      </c>
      <c r="B42" s="15">
        <v>9.9999999999999995E-7</v>
      </c>
      <c r="C42" s="15">
        <v>9.9999999999999995E-7</v>
      </c>
      <c r="D42" s="15">
        <v>9.9999999999999995E-7</v>
      </c>
      <c r="E42" s="15" t="s">
        <v>97</v>
      </c>
    </row>
    <row r="43" spans="1:5" x14ac:dyDescent="0.45">
      <c r="A43" s="15"/>
      <c r="B43" s="15"/>
      <c r="C43" s="15"/>
      <c r="D43" s="15"/>
      <c r="E43" s="15"/>
    </row>
    <row r="44" spans="1:5" ht="14.55" customHeight="1" x14ac:dyDescent="0.45">
      <c r="A44" s="15" t="s">
        <v>26</v>
      </c>
      <c r="B44" s="15">
        <v>8.4999999999999994E-8</v>
      </c>
      <c r="C44" s="15">
        <v>3.9999999999999998E-7</v>
      </c>
      <c r="D44" s="15">
        <v>5.5000000000000003E-7</v>
      </c>
      <c r="E44" s="15" t="s">
        <v>98</v>
      </c>
    </row>
    <row r="45" spans="1:5" x14ac:dyDescent="0.45">
      <c r="A45" s="15"/>
      <c r="B45" s="15"/>
      <c r="C45" s="15"/>
      <c r="D45" s="15"/>
      <c r="E45" s="15"/>
    </row>
    <row r="46" spans="1:5" x14ac:dyDescent="0.45">
      <c r="A46" s="15" t="s">
        <v>27</v>
      </c>
      <c r="B46" s="15">
        <v>0</v>
      </c>
      <c r="C46" s="15">
        <v>0</v>
      </c>
      <c r="D46" s="15">
        <v>0</v>
      </c>
      <c r="E46" s="16"/>
    </row>
    <row r="47" spans="1:5" x14ac:dyDescent="0.45">
      <c r="A47" s="15"/>
      <c r="B47" s="15"/>
      <c r="C47" s="15"/>
      <c r="D47" s="15"/>
      <c r="E47" s="16"/>
    </row>
    <row r="48" spans="1:5" x14ac:dyDescent="0.45">
      <c r="A48" s="15" t="s">
        <v>28</v>
      </c>
      <c r="B48" s="15">
        <v>0</v>
      </c>
      <c r="C48" s="15">
        <v>0</v>
      </c>
      <c r="D48" s="15">
        <v>0</v>
      </c>
      <c r="E48" s="16"/>
    </row>
    <row r="49" spans="1:5" x14ac:dyDescent="0.45">
      <c r="A49" s="15"/>
      <c r="B49" s="15"/>
      <c r="C49" s="15"/>
      <c r="D49" s="15"/>
      <c r="E49" s="16"/>
    </row>
    <row r="50" spans="1:5" x14ac:dyDescent="0.45">
      <c r="A50" s="15" t="s">
        <v>29</v>
      </c>
      <c r="B50" s="15">
        <v>0</v>
      </c>
      <c r="C50" s="15">
        <v>0</v>
      </c>
      <c r="D50" s="15">
        <v>0</v>
      </c>
      <c r="E50" s="16"/>
    </row>
    <row r="51" spans="1:5" x14ac:dyDescent="0.45">
      <c r="A51" s="15"/>
      <c r="B51" s="15"/>
      <c r="C51" s="15"/>
      <c r="D51" s="15"/>
      <c r="E51" s="16"/>
    </row>
    <row r="52" spans="1:5" x14ac:dyDescent="0.45">
      <c r="A52" s="15" t="s">
        <v>30</v>
      </c>
      <c r="B52" s="17">
        <v>5.0000000000000002E-11</v>
      </c>
      <c r="C52" s="17">
        <v>1E-10</v>
      </c>
      <c r="D52" s="17">
        <v>2.0000000000000001E-10</v>
      </c>
      <c r="E52" s="15" t="s">
        <v>95</v>
      </c>
    </row>
    <row r="53" spans="1:5" x14ac:dyDescent="0.45">
      <c r="A53" s="15"/>
      <c r="B53" s="17"/>
      <c r="C53" s="17"/>
      <c r="D53" s="17"/>
      <c r="E53" s="15"/>
    </row>
    <row r="54" spans="1:5" x14ac:dyDescent="0.45">
      <c r="A54" s="15" t="s">
        <v>31</v>
      </c>
      <c r="B54" s="15">
        <v>0</v>
      </c>
      <c r="C54" s="15">
        <v>0</v>
      </c>
      <c r="D54" s="15">
        <v>0</v>
      </c>
      <c r="E54" s="16"/>
    </row>
    <row r="55" spans="1:5" x14ac:dyDescent="0.45">
      <c r="A55" s="15"/>
      <c r="B55" s="15"/>
      <c r="C55" s="15"/>
      <c r="D55" s="15"/>
      <c r="E55" s="16"/>
    </row>
    <row r="56" spans="1:5" x14ac:dyDescent="0.45">
      <c r="A56" s="15" t="s">
        <v>32</v>
      </c>
      <c r="B56" s="17">
        <v>1.875E-10</v>
      </c>
      <c r="C56" s="17">
        <v>3.75E-10</v>
      </c>
      <c r="D56" s="17">
        <v>7.5E-10</v>
      </c>
      <c r="E56" s="15" t="s">
        <v>95</v>
      </c>
    </row>
    <row r="57" spans="1:5" x14ac:dyDescent="0.45">
      <c r="A57" s="15"/>
      <c r="B57" s="17"/>
      <c r="C57" s="17"/>
      <c r="D57" s="17"/>
      <c r="E57" s="15"/>
    </row>
    <row r="58" spans="1:5" x14ac:dyDescent="0.45">
      <c r="A58" s="15" t="s">
        <v>33</v>
      </c>
      <c r="B58" s="15">
        <v>0</v>
      </c>
      <c r="C58" s="15">
        <v>0</v>
      </c>
      <c r="D58" s="15">
        <v>0</v>
      </c>
      <c r="E58" s="16"/>
    </row>
    <row r="59" spans="1:5" x14ac:dyDescent="0.45">
      <c r="A59" s="15"/>
      <c r="B59" s="15"/>
      <c r="C59" s="15"/>
      <c r="D59" s="15"/>
      <c r="E59" s="16"/>
    </row>
    <row r="60" spans="1:5" x14ac:dyDescent="0.45">
      <c r="A60" s="15" t="s">
        <v>34</v>
      </c>
      <c r="B60" s="17">
        <v>1.5E-10</v>
      </c>
      <c r="C60" s="17">
        <v>3E-10</v>
      </c>
      <c r="D60" s="17">
        <v>6E-10</v>
      </c>
      <c r="E60" s="15" t="s">
        <v>52</v>
      </c>
    </row>
    <row r="61" spans="1:5" x14ac:dyDescent="0.45">
      <c r="A61" s="15"/>
      <c r="B61" s="17"/>
      <c r="C61" s="17"/>
      <c r="D61" s="17"/>
      <c r="E61" s="15"/>
    </row>
    <row r="62" spans="1:5" x14ac:dyDescent="0.45">
      <c r="A62" s="15" t="s">
        <v>35</v>
      </c>
      <c r="B62" s="17">
        <v>1.125E-10</v>
      </c>
      <c r="C62" s="17">
        <v>2.25E-10</v>
      </c>
      <c r="D62" s="17">
        <v>4.5E-10</v>
      </c>
      <c r="E62" s="15" t="s">
        <v>52</v>
      </c>
    </row>
    <row r="63" spans="1:5" x14ac:dyDescent="0.45">
      <c r="A63" s="15"/>
      <c r="B63" s="17"/>
      <c r="C63" s="17"/>
      <c r="D63" s="17"/>
      <c r="E63" s="15"/>
    </row>
    <row r="64" spans="1:5" x14ac:dyDescent="0.45">
      <c r="A64" s="15" t="s">
        <v>36</v>
      </c>
      <c r="B64" s="15">
        <v>0</v>
      </c>
      <c r="C64" s="15">
        <v>0</v>
      </c>
      <c r="D64" s="15">
        <v>0</v>
      </c>
      <c r="E64" s="16"/>
    </row>
    <row r="65" spans="1:5" x14ac:dyDescent="0.45">
      <c r="A65" s="15"/>
      <c r="B65" s="15"/>
      <c r="C65" s="15"/>
      <c r="D65" s="15"/>
      <c r="E65" s="16"/>
    </row>
    <row r="66" spans="1:5" x14ac:dyDescent="0.45">
      <c r="A66" s="15" t="s">
        <v>37</v>
      </c>
      <c r="B66" s="17">
        <v>3.5000000000000002E-11</v>
      </c>
      <c r="C66" s="17">
        <v>7.0000000000000004E-11</v>
      </c>
      <c r="D66" s="17">
        <v>1.4000000000000001E-10</v>
      </c>
      <c r="E66" s="15" t="s">
        <v>52</v>
      </c>
    </row>
    <row r="67" spans="1:5" x14ac:dyDescent="0.45">
      <c r="A67" s="15"/>
      <c r="B67" s="17"/>
      <c r="C67" s="17"/>
      <c r="D67" s="17"/>
      <c r="E67" s="15"/>
    </row>
    <row r="68" spans="1:5" x14ac:dyDescent="0.45">
      <c r="A68" s="15" t="s">
        <v>38</v>
      </c>
      <c r="B68" s="15">
        <v>0</v>
      </c>
      <c r="C68" s="15">
        <v>0</v>
      </c>
      <c r="D68" s="15">
        <v>0</v>
      </c>
      <c r="E68" s="16"/>
    </row>
    <row r="69" spans="1:5" x14ac:dyDescent="0.45">
      <c r="A69" s="15"/>
      <c r="B69" s="15"/>
      <c r="C69" s="15"/>
      <c r="D69" s="15"/>
      <c r="E69" s="16"/>
    </row>
    <row r="70" spans="1:5" x14ac:dyDescent="0.45">
      <c r="A70" s="15" t="s">
        <v>39</v>
      </c>
      <c r="B70" s="15">
        <v>0</v>
      </c>
      <c r="C70" s="15">
        <v>0</v>
      </c>
      <c r="D70" s="15">
        <v>0</v>
      </c>
      <c r="E70" s="16"/>
    </row>
    <row r="71" spans="1:5" x14ac:dyDescent="0.45">
      <c r="A71" s="15"/>
      <c r="B71" s="15"/>
      <c r="C71" s="15"/>
      <c r="D71" s="15"/>
      <c r="E71" s="16"/>
    </row>
    <row r="72" spans="1:5" x14ac:dyDescent="0.45">
      <c r="A72" s="15" t="s">
        <v>40</v>
      </c>
      <c r="B72" s="15">
        <v>0</v>
      </c>
      <c r="C72" s="15">
        <v>0</v>
      </c>
      <c r="D72" s="15">
        <v>0</v>
      </c>
      <c r="E72" s="16"/>
    </row>
    <row r="73" spans="1:5" x14ac:dyDescent="0.45">
      <c r="A73" s="15"/>
      <c r="B73" s="15"/>
      <c r="C73" s="15"/>
      <c r="D73" s="15"/>
      <c r="E73" s="16"/>
    </row>
    <row r="74" spans="1:5" x14ac:dyDescent="0.45">
      <c r="A74" s="15" t="s">
        <v>41</v>
      </c>
      <c r="B74" s="17">
        <v>6.9999999999999996E-10</v>
      </c>
      <c r="C74" s="17">
        <v>6.9999999999999996E-10</v>
      </c>
      <c r="D74" s="17">
        <v>6.9999999999999996E-10</v>
      </c>
      <c r="E74" s="15" t="s">
        <v>52</v>
      </c>
    </row>
    <row r="75" spans="1:5" x14ac:dyDescent="0.45">
      <c r="A75" s="15"/>
      <c r="B75" s="17"/>
      <c r="C75" s="17"/>
      <c r="D75" s="17"/>
      <c r="E75" s="15"/>
    </row>
    <row r="76" spans="1:5" x14ac:dyDescent="0.45">
      <c r="A76" s="15" t="s">
        <v>42</v>
      </c>
      <c r="B76" s="15">
        <v>0</v>
      </c>
      <c r="C76" s="15">
        <v>0</v>
      </c>
      <c r="D76" s="15">
        <v>0</v>
      </c>
      <c r="E76" s="16"/>
    </row>
    <row r="77" spans="1:5" x14ac:dyDescent="0.45">
      <c r="A77" s="15"/>
      <c r="B77" s="15"/>
      <c r="C77" s="15"/>
      <c r="D77" s="15"/>
      <c r="E77" s="16"/>
    </row>
    <row r="78" spans="1:5" x14ac:dyDescent="0.45">
      <c r="A78" s="15" t="s">
        <v>43</v>
      </c>
      <c r="B78" s="15">
        <v>5.0000000000000002E-5</v>
      </c>
      <c r="C78" s="15">
        <v>5.0000000000000002E-5</v>
      </c>
      <c r="D78" s="15">
        <v>5.0000000000000002E-5</v>
      </c>
      <c r="E78" s="15" t="s">
        <v>52</v>
      </c>
    </row>
    <row r="79" spans="1:5" x14ac:dyDescent="0.45">
      <c r="A79" s="15"/>
      <c r="B79" s="15"/>
      <c r="C79" s="15"/>
      <c r="D79" s="15"/>
      <c r="E79" s="15"/>
    </row>
    <row r="80" spans="1:5" x14ac:dyDescent="0.45">
      <c r="A80" s="15" t="s">
        <v>44</v>
      </c>
      <c r="B80" s="15">
        <v>1</v>
      </c>
      <c r="C80" s="15">
        <v>1</v>
      </c>
      <c r="D80" s="15">
        <v>1</v>
      </c>
      <c r="E80" s="16"/>
    </row>
    <row r="81" spans="1:5" x14ac:dyDescent="0.45">
      <c r="A81" s="15"/>
      <c r="B81" s="15"/>
      <c r="C81" s="15"/>
      <c r="D81" s="15"/>
      <c r="E81" s="16"/>
    </row>
  </sheetData>
  <mergeCells count="179">
    <mergeCell ref="A1:A2"/>
    <mergeCell ref="B1:B2"/>
    <mergeCell ref="C1:C2"/>
    <mergeCell ref="D1:D2"/>
    <mergeCell ref="E1:E2"/>
    <mergeCell ref="A3:A4"/>
    <mergeCell ref="B3:B4"/>
    <mergeCell ref="C3:C4"/>
    <mergeCell ref="D3:D4"/>
    <mergeCell ref="E3:E4"/>
    <mergeCell ref="A5:A6"/>
    <mergeCell ref="B5:C6"/>
    <mergeCell ref="D5:D6"/>
    <mergeCell ref="E5:E6"/>
    <mergeCell ref="A7:A8"/>
    <mergeCell ref="B7:B8"/>
    <mergeCell ref="C7:C8"/>
    <mergeCell ref="D7:D8"/>
    <mergeCell ref="E7:E8"/>
    <mergeCell ref="A22:A23"/>
    <mergeCell ref="B22:B23"/>
    <mergeCell ref="C22:C23"/>
    <mergeCell ref="D22:D23"/>
    <mergeCell ref="E22:E23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  <mergeCell ref="A24:A25"/>
    <mergeCell ref="B24:B25"/>
    <mergeCell ref="C24:C25"/>
    <mergeCell ref="D24:D25"/>
    <mergeCell ref="E24:E25"/>
    <mergeCell ref="A26:A27"/>
    <mergeCell ref="B26:B27"/>
    <mergeCell ref="C26:C27"/>
    <mergeCell ref="D26:D27"/>
    <mergeCell ref="E26:E27"/>
    <mergeCell ref="A28:A29"/>
    <mergeCell ref="B28:B29"/>
    <mergeCell ref="C28:C29"/>
    <mergeCell ref="D28:D29"/>
    <mergeCell ref="E28:E29"/>
    <mergeCell ref="A30:A31"/>
    <mergeCell ref="B30:B31"/>
    <mergeCell ref="C30:C31"/>
    <mergeCell ref="D30:D31"/>
    <mergeCell ref="E30:E31"/>
    <mergeCell ref="A32:A33"/>
    <mergeCell ref="B32:B33"/>
    <mergeCell ref="C32:C33"/>
    <mergeCell ref="D32:D33"/>
    <mergeCell ref="E32:E33"/>
    <mergeCell ref="A34:A35"/>
    <mergeCell ref="B34:B35"/>
    <mergeCell ref="C34:C35"/>
    <mergeCell ref="D34:D35"/>
    <mergeCell ref="E34:E35"/>
    <mergeCell ref="A36:A37"/>
    <mergeCell ref="B36:B37"/>
    <mergeCell ref="C36:C37"/>
    <mergeCell ref="D36:D37"/>
    <mergeCell ref="E36:E37"/>
    <mergeCell ref="A38:A39"/>
    <mergeCell ref="B38:B39"/>
    <mergeCell ref="C38:C39"/>
    <mergeCell ref="D38:D39"/>
    <mergeCell ref="E38:E39"/>
    <mergeCell ref="A40:A41"/>
    <mergeCell ref="B40:B41"/>
    <mergeCell ref="C40:C41"/>
    <mergeCell ref="D40:D41"/>
    <mergeCell ref="E40:E41"/>
    <mergeCell ref="A42:A43"/>
    <mergeCell ref="B42:B43"/>
    <mergeCell ref="C42:C43"/>
    <mergeCell ref="D42:D43"/>
    <mergeCell ref="E42:E43"/>
    <mergeCell ref="A44:A45"/>
    <mergeCell ref="B44:B45"/>
    <mergeCell ref="C44:C45"/>
    <mergeCell ref="D44:D45"/>
    <mergeCell ref="E44:E45"/>
    <mergeCell ref="A46:A47"/>
    <mergeCell ref="B46:B47"/>
    <mergeCell ref="C46:C47"/>
    <mergeCell ref="D46:D47"/>
    <mergeCell ref="E46:E47"/>
    <mergeCell ref="A48:A49"/>
    <mergeCell ref="B48:B49"/>
    <mergeCell ref="C48:C49"/>
    <mergeCell ref="D48:D49"/>
    <mergeCell ref="E48:E49"/>
    <mergeCell ref="A50:A51"/>
    <mergeCell ref="B50:B51"/>
    <mergeCell ref="C50:C51"/>
    <mergeCell ref="D50:D51"/>
    <mergeCell ref="E50:E51"/>
    <mergeCell ref="A52:A53"/>
    <mergeCell ref="B52:B53"/>
    <mergeCell ref="C52:C53"/>
    <mergeCell ref="D52:D53"/>
    <mergeCell ref="E52:E53"/>
    <mergeCell ref="A54:A55"/>
    <mergeCell ref="B54:B55"/>
    <mergeCell ref="C54:C55"/>
    <mergeCell ref="D54:D55"/>
    <mergeCell ref="E54:E55"/>
    <mergeCell ref="A56:A57"/>
    <mergeCell ref="B56:B57"/>
    <mergeCell ref="C56:C57"/>
    <mergeCell ref="D56:D57"/>
    <mergeCell ref="E56:E57"/>
    <mergeCell ref="A58:A59"/>
    <mergeCell ref="B58:B59"/>
    <mergeCell ref="C58:C59"/>
    <mergeCell ref="D58:D59"/>
    <mergeCell ref="E58:E59"/>
    <mergeCell ref="A60:A61"/>
    <mergeCell ref="B60:B61"/>
    <mergeCell ref="C60:C61"/>
    <mergeCell ref="D60:D61"/>
    <mergeCell ref="E60:E61"/>
    <mergeCell ref="A62:A63"/>
    <mergeCell ref="B62:B63"/>
    <mergeCell ref="C62:C63"/>
    <mergeCell ref="D62:D63"/>
    <mergeCell ref="E62:E63"/>
    <mergeCell ref="A64:A65"/>
    <mergeCell ref="B64:B65"/>
    <mergeCell ref="C64:C65"/>
    <mergeCell ref="D64:D65"/>
    <mergeCell ref="E64:E65"/>
    <mergeCell ref="A66:A67"/>
    <mergeCell ref="B66:B67"/>
    <mergeCell ref="C66:C67"/>
    <mergeCell ref="D66:D67"/>
    <mergeCell ref="E66:E67"/>
    <mergeCell ref="A68:A69"/>
    <mergeCell ref="B68:B69"/>
    <mergeCell ref="C68:C69"/>
    <mergeCell ref="D68:D69"/>
    <mergeCell ref="E68:E69"/>
    <mergeCell ref="A70:A71"/>
    <mergeCell ref="B70:B71"/>
    <mergeCell ref="C70:C71"/>
    <mergeCell ref="D70:D71"/>
    <mergeCell ref="E70:E71"/>
    <mergeCell ref="A72:A73"/>
    <mergeCell ref="B72:B73"/>
    <mergeCell ref="C72:C73"/>
    <mergeCell ref="D72:D73"/>
    <mergeCell ref="E72:E73"/>
    <mergeCell ref="A74:A75"/>
    <mergeCell ref="B74:B75"/>
    <mergeCell ref="C74:C75"/>
    <mergeCell ref="D74:D75"/>
    <mergeCell ref="E74:E75"/>
    <mergeCell ref="A80:A81"/>
    <mergeCell ref="B80:B81"/>
    <mergeCell ref="C80:C81"/>
    <mergeCell ref="D80:D81"/>
    <mergeCell ref="E80:E81"/>
    <mergeCell ref="A76:A77"/>
    <mergeCell ref="B76:B77"/>
    <mergeCell ref="C76:C77"/>
    <mergeCell ref="D76:D77"/>
    <mergeCell ref="E76:E77"/>
    <mergeCell ref="A78:A79"/>
    <mergeCell ref="B78:B79"/>
    <mergeCell ref="C78:C79"/>
    <mergeCell ref="D78:D79"/>
    <mergeCell ref="E78:E7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B40A-CBF1-4568-A053-833E7970C5F5}">
  <dimension ref="A1:J22"/>
  <sheetViews>
    <sheetView workbookViewId="0">
      <selection activeCell="H13" sqref="H13"/>
    </sheetView>
  </sheetViews>
  <sheetFormatPr defaultRowHeight="14.25" x14ac:dyDescent="0.45"/>
  <sheetData>
    <row r="1" spans="1:10" x14ac:dyDescent="0.45">
      <c r="A1" t="s">
        <v>87</v>
      </c>
      <c r="B1" t="s">
        <v>86</v>
      </c>
      <c r="C1" t="s">
        <v>88</v>
      </c>
    </row>
    <row r="2" spans="1:10" x14ac:dyDescent="0.45">
      <c r="A2">
        <v>0</v>
      </c>
      <c r="B2">
        <v>1</v>
      </c>
      <c r="C2">
        <f>J12-J11</f>
        <v>0.13195878069311295</v>
      </c>
    </row>
    <row r="3" spans="1:10" x14ac:dyDescent="0.45">
      <c r="A3">
        <v>12</v>
      </c>
      <c r="B3">
        <v>0.76859502920678702</v>
      </c>
      <c r="C3">
        <f>J14-J13</f>
        <v>0.20206184311796904</v>
      </c>
    </row>
    <row r="4" spans="1:10" x14ac:dyDescent="0.45">
      <c r="A4">
        <v>24</v>
      </c>
      <c r="B4">
        <v>0.276859531294459</v>
      </c>
      <c r="C4">
        <f>J16-J15</f>
        <v>0.13814439499285899</v>
      </c>
    </row>
    <row r="5" spans="1:10" x14ac:dyDescent="0.45">
      <c r="A5">
        <v>36</v>
      </c>
      <c r="B5">
        <v>0.17355371627249999</v>
      </c>
      <c r="C5">
        <f>J18-J17</f>
        <v>9.4845425239569986E-2</v>
      </c>
    </row>
    <row r="6" spans="1:10" x14ac:dyDescent="0.45">
      <c r="A6">
        <v>48</v>
      </c>
      <c r="B6">
        <v>8.8842942279737797E-2</v>
      </c>
      <c r="C6">
        <f>J20-J19</f>
        <v>0.11340212656240731</v>
      </c>
    </row>
    <row r="7" spans="1:10" x14ac:dyDescent="0.45">
      <c r="A7">
        <v>60</v>
      </c>
      <c r="B7">
        <v>7.85124269830305E-2</v>
      </c>
      <c r="C7">
        <f>J22-J21</f>
        <v>9.0721682373073292E-2</v>
      </c>
    </row>
    <row r="10" spans="1:10" x14ac:dyDescent="0.45">
      <c r="J10" t="s">
        <v>86</v>
      </c>
    </row>
    <row r="11" spans="1:10" x14ac:dyDescent="0.45">
      <c r="J11">
        <v>0.93402058605737703</v>
      </c>
    </row>
    <row r="12" spans="1:10" x14ac:dyDescent="0.45">
      <c r="C12" t="s">
        <v>87</v>
      </c>
      <c r="D12" t="s">
        <v>86</v>
      </c>
      <c r="E12" t="s">
        <v>88</v>
      </c>
      <c r="J12">
        <v>1.06597936675049</v>
      </c>
    </row>
    <row r="13" spans="1:10" x14ac:dyDescent="0.45">
      <c r="C13">
        <v>0</v>
      </c>
      <c r="D13">
        <v>1</v>
      </c>
      <c r="E13">
        <v>0.13195878069311295</v>
      </c>
      <c r="J13">
        <v>0.665979376188917</v>
      </c>
    </row>
    <row r="14" spans="1:10" x14ac:dyDescent="0.45">
      <c r="C14">
        <v>12</v>
      </c>
      <c r="D14">
        <v>0.76859502920678702</v>
      </c>
      <c r="E14">
        <v>0.20206184311796904</v>
      </c>
      <c r="J14">
        <v>0.86804121930688605</v>
      </c>
    </row>
    <row r="15" spans="1:10" x14ac:dyDescent="0.45">
      <c r="C15">
        <v>24</v>
      </c>
      <c r="D15">
        <v>0.276859531294459</v>
      </c>
      <c r="E15">
        <v>0.13814439499285899</v>
      </c>
      <c r="J15">
        <v>0.20824736303344901</v>
      </c>
    </row>
    <row r="16" spans="1:10" x14ac:dyDescent="0.45">
      <c r="C16">
        <v>36</v>
      </c>
      <c r="D16">
        <v>0.17355371627249999</v>
      </c>
      <c r="E16">
        <v>9.4845425239569986E-2</v>
      </c>
      <c r="J16">
        <v>0.34639175802630801</v>
      </c>
    </row>
    <row r="17" spans="3:10" x14ac:dyDescent="0.45">
      <c r="C17">
        <v>48</v>
      </c>
      <c r="D17">
        <v>8.8842942279737797E-2</v>
      </c>
      <c r="E17">
        <v>0.11340212656240731</v>
      </c>
      <c r="J17">
        <v>0.127834990634485</v>
      </c>
    </row>
    <row r="18" spans="3:10" x14ac:dyDescent="0.45">
      <c r="C18">
        <v>60</v>
      </c>
      <c r="D18">
        <v>7.85124269830305E-2</v>
      </c>
      <c r="E18">
        <v>9.0721682373073292E-2</v>
      </c>
      <c r="J18">
        <v>0.22268041587405499</v>
      </c>
    </row>
    <row r="19" spans="3:10" x14ac:dyDescent="0.45">
      <c r="J19">
        <v>3.5051484020295703E-2</v>
      </c>
    </row>
    <row r="20" spans="3:10" x14ac:dyDescent="0.45">
      <c r="J20">
        <v>0.14845361058270301</v>
      </c>
    </row>
    <row r="21" spans="3:10" x14ac:dyDescent="0.45">
      <c r="J21">
        <v>3.5051484020295703E-2</v>
      </c>
    </row>
    <row r="22" spans="3:10" x14ac:dyDescent="0.45">
      <c r="J22">
        <v>0.125773166393369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species_ics_gluc_rap_mTOR</vt:lpstr>
      <vt:lpstr>gluc_rap_ranges</vt:lpstr>
      <vt:lpstr>BCRN6_ranges</vt:lpstr>
      <vt:lpstr>Munka4</vt:lpstr>
      <vt:lpstr>Munka2</vt:lpstr>
      <vt:lpstr>sejeong_gluc_starve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Krisz</dc:creator>
  <cp:lastModifiedBy>Szuppinger Krisztián</cp:lastModifiedBy>
  <dcterms:created xsi:type="dcterms:W3CDTF">2025-11-08T13:17:12Z</dcterms:created>
  <dcterms:modified xsi:type="dcterms:W3CDTF">2026-01-22T10:17:28Z</dcterms:modified>
</cp:coreProperties>
</file>